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MPCbS\"/>
    </mc:Choice>
  </mc:AlternateContent>
  <xr:revisionPtr revIDLastSave="0" documentId="8_{431293FC-938E-442E-A932-53A7A905A1D3}" xr6:coauthVersionLast="47" xr6:coauthVersionMax="47" xr10:uidLastSave="{00000000-0000-0000-0000-000000000000}"/>
  <bookViews>
    <workbookView xWindow="780" yWindow="780" windowWidth="16290" windowHeight="17025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7" s="1"/>
  <c r="B1" i="7" s="1"/>
  <c r="B15" i="3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9"/>
  <c r="B1" i="9" s="1"/>
  <c r="B10" i="3" s="1"/>
  <c r="B21" i="3" s="1"/>
  <c r="A1" i="10"/>
  <c r="B1" i="10" s="1"/>
  <c r="B11" i="3" s="1"/>
  <c r="A1" i="11"/>
  <c r="B1" i="11" s="1"/>
  <c r="B6" i="3" s="1"/>
  <c r="H91" i="11"/>
  <c r="H69" i="11"/>
  <c r="H66" i="11"/>
  <c r="H94" i="11"/>
  <c r="H93" i="11"/>
  <c r="H70" i="11"/>
  <c r="H109" i="11"/>
  <c r="H101" i="11"/>
  <c r="H83" i="11"/>
  <c r="H71" i="1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<sst xmlns="http://schemas.openxmlformats.org/spreadsheetml/2006/main" count="914" uniqueCount="279">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</sst>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154</v>
      </c>
      <c r="C1" s="24">
        <v>45187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NV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NV</v>
      </c>
      <c r="B1" s="32">
        <f>SUMIFS(E3:E52,A3:A52,A1)</f>
        <v>3750000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NV</v>
      </c>
      <c r="B1" s="32">
        <f>SUMIFS(C3:C53,A3:A53,A1)</f>
        <v>2558000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NV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Nevada</v>
      </c>
      <c r="B1" s="32" t="str">
        <f>LOOKUP(A1,M4:N53,N4:N53)</f>
        <v>NV</v>
      </c>
      <c r="C1" s="32">
        <f>SUMIFS(L5:L52,A5:A52,B1)</f>
        <v>468034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NV</v>
      </c>
      <c r="B1" s="32">
        <f>SUMIFS(D4:D53,A4:A53,A1)</f>
        <v>100.13046314416177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NV</v>
      </c>
      <c r="B1" s="32">
        <f>SUMIFS(C3:C52,A3:A52,A1)</f>
        <v>160000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NV</v>
      </c>
      <c r="B1" s="32">
        <f>SUMIFS(D5:D54,A5:A54,A1)</f>
        <v>193.15068493150687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193.15068493150687</v>
      </c>
    </row>
    <row r="7" spans="1:2" x14ac:dyDescent="0.25">
      <c r="A7" t="s">
        <v>55</v>
      </c>
      <c r="B7">
        <f>'onshore wind'!C1</f>
        <v>468034</v>
      </c>
    </row>
    <row r="8" spans="1:2" x14ac:dyDescent="0.25">
      <c r="A8" t="s">
        <v>33</v>
      </c>
      <c r="B8">
        <f>'solar PV'!B1</f>
        <v>3750000</v>
      </c>
    </row>
    <row r="9" spans="1:2" x14ac:dyDescent="0.25">
      <c r="A9" t="s">
        <v>34</v>
      </c>
      <c r="B9">
        <f>'solar thermal'!B1</f>
        <v>2558000</v>
      </c>
    </row>
    <row r="10" spans="1:2" x14ac:dyDescent="0.25">
      <c r="A10" t="s">
        <v>29</v>
      </c>
      <c r="B10">
        <f>bio!B1</f>
        <v>100.13046314416177</v>
      </c>
    </row>
    <row r="11" spans="1:2" x14ac:dyDescent="0.25">
      <c r="A11" t="s">
        <v>39</v>
      </c>
      <c r="B11">
        <f>geothermal!B1</f>
        <v>160000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75.334562100701504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100.13046314416177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2023-09-18T22:54:49Z</dcterms:modified>
</cp:coreProperties>
</file>