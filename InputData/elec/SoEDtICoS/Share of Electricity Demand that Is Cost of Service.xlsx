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EIA-861 Sales 2024" sheetId="3" state="visible" r:id="rId3"/>
    <sheet xmlns:r="http://schemas.openxmlformats.org/officeDocument/2006/relationships" name="Share" sheetId="4" state="visible" r:id="rId4"/>
    <sheet xmlns:r="http://schemas.openxmlformats.org/officeDocument/2006/relationships" name="SoEDt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</font>
    <font>
      <color rgb="000563C1"/>
      <u val="single"/>
    </font>
    <font>
      <b val="1"/>
      <color rgb="00FFFFFF"/>
    </font>
    <font>
      <b val="1"/>
      <i val="1"/>
      <color rgb="001F3864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ia.gov/electricity/data/eia861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SoEDtICoS Share of Electricity Demand that Is Cost of Service</t>
        </is>
      </c>
    </row>
    <row r="2">
      <c r="A2" s="2" t="inlineStr">
        <is>
          <t>Scope: state of NV   |   Data year: 2024</t>
        </is>
      </c>
    </row>
    <row r="4">
      <c r="A4" s="1" t="inlineStr">
        <is>
          <t>Source:</t>
        </is>
      </c>
      <c r="B4" s="3" t="inlineStr">
        <is>
          <t>Retail electricity sales by serving entity (utility / marketer / CCA)</t>
        </is>
      </c>
    </row>
    <row r="5">
      <c r="B5" s="4" t="inlineStr">
        <is>
          <t>U.S. Energy Information Administration (EIA)</t>
        </is>
      </c>
    </row>
    <row r="6">
      <c r="B6" s="4" t="inlineStr">
        <is>
          <t>Form EIA-861 detailed data, Sales_Ult_Cust_2024.xlsx (sheet 'States')</t>
        </is>
      </c>
    </row>
    <row r="7">
      <c r="B7" s="4" t="n">
        <v>2024</v>
      </c>
    </row>
    <row r="8">
      <c r="B8" s="5" t="inlineStr">
        <is>
          <t>https://www.eia.gov/electricity/data/eia861/</t>
        </is>
      </c>
    </row>
    <row r="9">
      <c r="B9" s="4" t="inlineStr">
        <is>
          <t>Cost-of-service share = cost-of-service MWh / (cost-of-service + procurement) MWh for this jurisdiction. Ties to EIA published retail sales (Bundled+Energy).</t>
        </is>
      </c>
    </row>
    <row r="11">
      <c r="A11" s="1" t="inlineStr">
        <is>
          <t>Notes:</t>
        </is>
      </c>
    </row>
    <row r="12">
      <c r="A12" s="6" t="inlineStr">
        <is>
          <t>Classification</t>
        </is>
      </c>
      <c r="B12" s="4" t="inlineStr">
        <is>
          <t>LSE-based: cost-of-service = bundled sales of munis, cooperatives, federal/state/political-subdivision utilities, plus IOUs in non-restructured states (and the TX override utilities). Procurement = marketers, CCAs, any 'Energy' service-type sales, and IOUs in restructured states.</t>
        </is>
      </c>
    </row>
    <row r="13">
      <c r="A13" s="6" t="inlineStr">
        <is>
          <t>Double-count fix</t>
        </is>
      </c>
      <c r="B13" s="4" t="inlineStr">
        <is>
          <t>Only Service Type Bundled or Energy enter the totals; 'Delivery' rows (the wires half of choice load) are classified 'excluded'.</t>
        </is>
      </c>
    </row>
    <row r="14">
      <c r="A14" s="6" t="inlineStr">
        <is>
          <t>Exclusions</t>
        </is>
      </c>
      <c r="B14" s="4" t="inlineStr">
        <is>
          <t>EIA 'Adjustment' rows and 'Behind the Meter' ownership are excluded.</t>
        </is>
      </c>
    </row>
    <row r="15">
      <c r="A15" s="6" t="inlineStr">
        <is>
          <t>Time profile</t>
        </is>
      </c>
      <c r="B15" s="4" t="inlineStr">
        <is>
          <t>Held FLAT 2021-2050 at the latest-year cost-of-service share. The analysis measures a single recent year; no independent forward projection is made.</t>
        </is>
      </c>
    </row>
    <row r="16">
      <c r="A16" s="6" t="inlineStr">
        <is>
          <t>Restructured + overrides</t>
        </is>
      </c>
      <c r="B16" s="4" t="inlineStr">
        <is>
          <t>Editable on the Parameters tab. Non-ERCOT TX IOUs (util #s 55937/17718/17698/5701) are held cost-of-service.</t>
        </is>
      </c>
    </row>
    <row r="17">
      <c r="A17" s="6" t="inlineStr">
        <is>
          <t>How it computes</t>
        </is>
      </c>
      <c r="B17" s="4" t="inlineStr">
        <is>
          <t>Source tab 'bucket' column classifies each row (reads Parameters via COUNTIF); the Share tab sums via SUMIFS; the SoEDtICoS tab = ROUND(share,3) flat across years. Edit Parameters and the EPS value recomputes.</t>
        </is>
      </c>
    </row>
    <row r="18">
      <c r="A18" s="6" t="inlineStr">
        <is>
          <t>Caveat</t>
        </is>
      </c>
      <c r="B18" s="4" t="inlineStr">
        <is>
          <t>Staff-review input; verify against EIA primary sources. Restructured list and TX overrides are adjustable assumptions.</t>
        </is>
      </c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</cols>
  <sheetData>
    <row r="1">
      <c r="A1" s="1" t="inlineStr">
        <is>
          <t>Parameters (editable — outputs recompute)</t>
        </is>
      </c>
    </row>
    <row r="3">
      <c r="A3" s="7" t="inlineStr">
        <is>
          <t>Fully Restructured States</t>
        </is>
      </c>
      <c r="B3" s="7" t="inlineStr">
        <is>
          <t>Override Utility #</t>
        </is>
      </c>
      <c r="C3" s="7" t="inlineStr">
        <is>
          <t>Override Utility Name (reference)</t>
        </is>
      </c>
    </row>
    <row r="4">
      <c r="A4" t="inlineStr">
        <is>
          <t>CT</t>
        </is>
      </c>
      <c r="B4" t="n">
        <v>55937</v>
      </c>
      <c r="C4" t="inlineStr">
        <is>
          <t>Entergy Texas Inc.</t>
        </is>
      </c>
    </row>
    <row r="5">
      <c r="A5" t="inlineStr">
        <is>
          <t>DC</t>
        </is>
      </c>
      <c r="B5" t="n">
        <v>17718</v>
      </c>
      <c r="C5" t="inlineStr">
        <is>
          <t>Southwestern Public Service Co</t>
        </is>
      </c>
    </row>
    <row r="6">
      <c r="A6" t="inlineStr">
        <is>
          <t>DE</t>
        </is>
      </c>
      <c r="B6" t="n">
        <v>17698</v>
      </c>
      <c r="C6" t="inlineStr">
        <is>
          <t>Southwestern Electric Power Co</t>
        </is>
      </c>
    </row>
    <row r="7">
      <c r="A7" t="inlineStr">
        <is>
          <t>IL</t>
        </is>
      </c>
      <c r="B7" t="n">
        <v>5701</v>
      </c>
      <c r="C7" t="inlineStr">
        <is>
          <t>El Paso Electric Co</t>
        </is>
      </c>
    </row>
    <row r="8">
      <c r="A8" t="inlineStr">
        <is>
          <t>MA</t>
        </is>
      </c>
    </row>
    <row r="9">
      <c r="A9" t="inlineStr">
        <is>
          <t>MD</t>
        </is>
      </c>
    </row>
    <row r="10">
      <c r="A10" t="inlineStr">
        <is>
          <t>ME</t>
        </is>
      </c>
    </row>
    <row r="11">
      <c r="A11" t="inlineStr">
        <is>
          <t>NH</t>
        </is>
      </c>
    </row>
    <row r="12">
      <c r="A12" t="inlineStr">
        <is>
          <t>NJ</t>
        </is>
      </c>
    </row>
    <row r="13">
      <c r="A13" t="inlineStr">
        <is>
          <t>NY</t>
        </is>
      </c>
    </row>
    <row r="14">
      <c r="A14" t="inlineStr">
        <is>
          <t>OH</t>
        </is>
      </c>
    </row>
    <row r="15">
      <c r="A15" t="inlineStr">
        <is>
          <t>PA</t>
        </is>
      </c>
    </row>
    <row r="16">
      <c r="A16" t="inlineStr">
        <is>
          <t>RI</t>
        </is>
      </c>
    </row>
    <row r="17">
      <c r="A17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Utility Characteristics</t>
        </is>
      </c>
      <c r="J1" t="inlineStr">
        <is>
          <t>RESIDENTIAL</t>
        </is>
      </c>
      <c r="M1" t="inlineStr">
        <is>
          <t>COMMERCIAL</t>
        </is>
      </c>
      <c r="P1" t="inlineStr">
        <is>
          <t>INDUSTRIAL</t>
        </is>
      </c>
      <c r="S1" t="inlineStr">
        <is>
          <t>TRANSPORTATION</t>
        </is>
      </c>
      <c r="V1" t="inlineStr">
        <is>
          <t>TOTAL</t>
        </is>
      </c>
    </row>
    <row r="2">
      <c r="A2" t="inlineStr"/>
      <c r="J2" t="inlineStr">
        <is>
          <t>Revenues</t>
        </is>
      </c>
      <c r="K2" t="inlineStr">
        <is>
          <t>Sales</t>
        </is>
      </c>
      <c r="L2" t="inlineStr">
        <is>
          <t>Customers</t>
        </is>
      </c>
      <c r="M2" t="inlineStr">
        <is>
          <t>Revenues</t>
        </is>
      </c>
      <c r="N2" t="inlineStr">
        <is>
          <t>Sales</t>
        </is>
      </c>
      <c r="O2" t="inlineStr">
        <is>
          <t>Customers</t>
        </is>
      </c>
      <c r="P2" t="inlineStr">
        <is>
          <t>Revenues</t>
        </is>
      </c>
      <c r="Q2" t="inlineStr">
        <is>
          <t>Sales</t>
        </is>
      </c>
      <c r="R2" t="inlineStr">
        <is>
          <t>Customers</t>
        </is>
      </c>
      <c r="S2" t="inlineStr">
        <is>
          <t>Revenues</t>
        </is>
      </c>
      <c r="T2" t="inlineStr">
        <is>
          <t>Sales</t>
        </is>
      </c>
      <c r="U2" t="inlineStr">
        <is>
          <t>Customers</t>
        </is>
      </c>
      <c r="V2" t="inlineStr">
        <is>
          <t>Revenues</t>
        </is>
      </c>
      <c r="W2" t="inlineStr">
        <is>
          <t>Sales</t>
        </is>
      </c>
      <c r="X2" t="inlineStr">
        <is>
          <t>Customers</t>
        </is>
      </c>
    </row>
    <row r="3">
      <c r="A3" t="inlineStr">
        <is>
          <t>Data Year</t>
        </is>
      </c>
      <c r="B3" t="inlineStr">
        <is>
          <t>Utility Number</t>
        </is>
      </c>
      <c r="C3" t="inlineStr">
        <is>
          <t>Utility Name</t>
        </is>
      </c>
      <c r="D3" t="inlineStr">
        <is>
          <t>Part</t>
        </is>
      </c>
      <c r="E3" t="inlineStr">
        <is>
          <t>Service Type</t>
        </is>
      </c>
      <c r="F3" t="inlineStr">
        <is>
          <t>Data Type
O = Observed
I = Imputed</t>
        </is>
      </c>
      <c r="G3" t="inlineStr">
        <is>
          <t>State</t>
        </is>
      </c>
      <c r="H3" t="inlineStr">
        <is>
          <t>Ownership</t>
        </is>
      </c>
      <c r="I3" t="inlineStr">
        <is>
          <t>BA Code</t>
        </is>
      </c>
      <c r="J3" t="inlineStr">
        <is>
          <t>Thousand Dollars</t>
        </is>
      </c>
      <c r="K3" t="inlineStr">
        <is>
          <t>Megawatthours</t>
        </is>
      </c>
      <c r="L3" t="inlineStr">
        <is>
          <t>Count</t>
        </is>
      </c>
      <c r="M3" t="inlineStr">
        <is>
          <t>Thousand Dollars</t>
        </is>
      </c>
      <c r="N3" t="inlineStr">
        <is>
          <t>Megawatthours</t>
        </is>
      </c>
      <c r="O3" t="inlineStr">
        <is>
          <t>Count</t>
        </is>
      </c>
      <c r="P3" t="inlineStr">
        <is>
          <t>Thousand Dollars</t>
        </is>
      </c>
      <c r="Q3" t="inlineStr">
        <is>
          <t>Megawatthours</t>
        </is>
      </c>
      <c r="R3" t="inlineStr">
        <is>
          <t>Count</t>
        </is>
      </c>
      <c r="S3" t="inlineStr">
        <is>
          <t>Thousand Dollars</t>
        </is>
      </c>
      <c r="T3" t="inlineStr">
        <is>
          <t>Megawatthours</t>
        </is>
      </c>
      <c r="U3" t="inlineStr">
        <is>
          <t>Count</t>
        </is>
      </c>
      <c r="V3" t="inlineStr">
        <is>
          <t>Thousand Dollars</t>
        </is>
      </c>
      <c r="W3" t="inlineStr">
        <is>
          <t>Megawatthours</t>
        </is>
      </c>
      <c r="X3" t="inlineStr">
        <is>
          <t>Count</t>
        </is>
      </c>
      <c r="Y3" s="8" t="inlineStr">
        <is>
          <t>sales_mwh (derived)</t>
        </is>
      </c>
      <c r="Z3" s="8" t="inlineStr">
        <is>
          <t>bucket (derived)</t>
        </is>
      </c>
    </row>
    <row r="4">
      <c r="A4" t="n">
        <v>2024</v>
      </c>
      <c r="B4" t="n">
        <v>2008</v>
      </c>
      <c r="C4" t="inlineStr">
        <is>
          <t>City of Boulder City - (NV)</t>
        </is>
      </c>
      <c r="D4" t="inlineStr">
        <is>
          <t>A</t>
        </is>
      </c>
      <c r="E4" t="inlineStr">
        <is>
          <t>Bundled</t>
        </is>
      </c>
      <c r="F4" t="inlineStr">
        <is>
          <t>O</t>
        </is>
      </c>
      <c r="G4" t="inlineStr">
        <is>
          <t>NV</t>
        </is>
      </c>
      <c r="H4" t="inlineStr">
        <is>
          <t>Municipal</t>
        </is>
      </c>
      <c r="I4" t="inlineStr">
        <is>
          <t>WALC</t>
        </is>
      </c>
      <c r="J4" t="n">
        <v>11007</v>
      </c>
      <c r="K4" t="n">
        <v>106104</v>
      </c>
      <c r="L4" t="n">
        <v>7145</v>
      </c>
      <c r="M4" t="n">
        <v>6958</v>
      </c>
      <c r="N4" t="n">
        <v>53955</v>
      </c>
      <c r="O4" t="n">
        <v>923</v>
      </c>
      <c r="P4" t="n">
        <v>120</v>
      </c>
      <c r="Q4" t="n">
        <v>933</v>
      </c>
      <c r="R4" t="n">
        <v>6</v>
      </c>
      <c r="S4" t="n">
        <v>0</v>
      </c>
      <c r="T4" t="n">
        <v>0</v>
      </c>
      <c r="U4" t="n">
        <v>0</v>
      </c>
      <c r="V4" t="n">
        <v>18085</v>
      </c>
      <c r="W4" t="n">
        <v>160992</v>
      </c>
      <c r="X4" t="n">
        <v>8074</v>
      </c>
      <c r="Y4">
        <f>IF(ISNUMBER($W4),$W4,0)</f>
        <v/>
      </c>
      <c r="Z4">
        <f>IF(ISNUMBER(SEARCH("Adjustment",$C4)),"excluded",IF($H4="Behind the Meter","excluded",IF(NOT(OR($E4="Bundled",$E4="Energy")),"excluded",IF(OR($H4="Retail Power Marketer",$H4="Community Choice Aggregator",$E4="Energy"),"procurement",IF(OR($H4="Municipal",$H4="Cooperative",$H4="Federal",$H4="State",$H4="Political Subdivision"),"cost_service",IF($H4="Investor Owned",IF(AND(COUNTIF(Parameters!$A$4:$A$33,$G4)&gt;0,COUNTIF(Parameters!$B$4:$B$33,$B4)=0),"procurement","cost_service"),"unclassified"))))))</f>
        <v/>
      </c>
    </row>
    <row r="5">
      <c r="A5" t="n">
        <v>2024</v>
      </c>
      <c r="B5" t="n">
        <v>4356</v>
      </c>
      <c r="C5" t="inlineStr">
        <is>
          <t>Colorado River Comm of Nevada</t>
        </is>
      </c>
      <c r="D5" t="inlineStr">
        <is>
          <t>B</t>
        </is>
      </c>
      <c r="E5" t="inlineStr">
        <is>
          <t>Energy</t>
        </is>
      </c>
      <c r="F5" t="inlineStr">
        <is>
          <t>O</t>
        </is>
      </c>
      <c r="G5" t="inlineStr">
        <is>
          <t>NV</t>
        </is>
      </c>
      <c r="H5" t="inlineStr">
        <is>
          <t>State</t>
        </is>
      </c>
      <c r="I5" t="inlineStr">
        <is>
          <t>NEVP</t>
        </is>
      </c>
      <c r="J5" t="n">
        <v>0</v>
      </c>
      <c r="K5" t="n">
        <v>0</v>
      </c>
      <c r="L5" t="n">
        <v>0</v>
      </c>
      <c r="M5" t="n">
        <v>3858.1</v>
      </c>
      <c r="N5" t="n">
        <v>134022</v>
      </c>
      <c r="O5" t="n">
        <v>11</v>
      </c>
      <c r="P5" t="n">
        <v>3596.1</v>
      </c>
      <c r="Q5" t="n">
        <v>149530</v>
      </c>
      <c r="R5" t="n">
        <v>4</v>
      </c>
      <c r="S5" t="n">
        <v>0</v>
      </c>
      <c r="T5" t="n">
        <v>0</v>
      </c>
      <c r="U5" t="n">
        <v>0</v>
      </c>
      <c r="V5" t="n">
        <v>7454.2</v>
      </c>
      <c r="W5" t="n">
        <v>283552</v>
      </c>
      <c r="X5" t="n">
        <v>15</v>
      </c>
      <c r="Y5">
        <f>IF(ISNUMBER($W5),$W5,0)</f>
        <v/>
      </c>
      <c r="Z5">
        <f>IF(ISNUMBER(SEARCH("Adjustment",$C5)),"excluded",IF($H5="Behind the Meter","excluded",IF(NOT(OR($E5="Bundled",$E5="Energy")),"excluded",IF(OR($H5="Retail Power Marketer",$H5="Community Choice Aggregator",$E5="Energy"),"procurement",IF(OR($H5="Municipal",$H5="Cooperative",$H5="Federal",$H5="State",$H5="Political Subdivision"),"cost_service",IF($H5="Investor Owned",IF(AND(COUNTIF(Parameters!$A$4:$A$33,$G5)&gt;0,COUNTIF(Parameters!$B$4:$B$33,$B5)=0),"procurement","cost_service"),"unclassified"))))))</f>
        <v/>
      </c>
    </row>
    <row r="6">
      <c r="A6" t="n">
        <v>2024</v>
      </c>
      <c r="B6" t="n">
        <v>4356</v>
      </c>
      <c r="C6" t="inlineStr">
        <is>
          <t>Colorado River Comm of Nevada</t>
        </is>
      </c>
      <c r="D6" t="inlineStr">
        <is>
          <t>C</t>
        </is>
      </c>
      <c r="E6" t="inlineStr">
        <is>
          <t>Delivery</t>
        </is>
      </c>
      <c r="F6" t="inlineStr">
        <is>
          <t>O</t>
        </is>
      </c>
      <c r="G6" t="inlineStr">
        <is>
          <t>NV</t>
        </is>
      </c>
      <c r="H6" t="inlineStr">
        <is>
          <t>State</t>
        </is>
      </c>
      <c r="I6" t="inlineStr">
        <is>
          <t>NEVP</t>
        </is>
      </c>
      <c r="J6" t="n">
        <v>0</v>
      </c>
      <c r="K6" t="n">
        <v>0</v>
      </c>
      <c r="L6" t="n">
        <v>0</v>
      </c>
      <c r="M6" t="n">
        <v>2580</v>
      </c>
      <c r="N6" t="n">
        <v>757910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2580</v>
      </c>
      <c r="W6" t="n">
        <v>757910</v>
      </c>
      <c r="X6" t="n">
        <v>1</v>
      </c>
      <c r="Y6">
        <f>IF(ISNUMBER($W6),$W6,0)</f>
        <v/>
      </c>
      <c r="Z6">
        <f>IF(ISNUMBER(SEARCH("Adjustment",$C6)),"excluded",IF($H6="Behind the Meter","excluded",IF(NOT(OR($E6="Bundled",$E6="Energy")),"excluded",IF(OR($H6="Retail Power Marketer",$H6="Community Choice Aggregator",$E6="Energy"),"procurement",IF(OR($H6="Municipal",$H6="Cooperative",$H6="Federal",$H6="State",$H6="Political Subdivision"),"cost_service",IF($H6="Investor Owned",IF(AND(COUNTIF(Parameters!$A$4:$A$33,$G6)&gt;0,COUNTIF(Parameters!$B$4:$B$33,$B6)=0),"procurement","cost_service"),"unclassified"))))))</f>
        <v/>
      </c>
    </row>
    <row r="7">
      <c r="A7" t="n">
        <v>2024</v>
      </c>
      <c r="B7" t="n">
        <v>4410</v>
      </c>
      <c r="C7" t="inlineStr">
        <is>
          <t>Shell Energy North America (US), L.P.</t>
        </is>
      </c>
      <c r="D7" t="inlineStr">
        <is>
          <t>B</t>
        </is>
      </c>
      <c r="E7" t="inlineStr">
        <is>
          <t>Energy</t>
        </is>
      </c>
      <c r="F7" t="inlineStr">
        <is>
          <t>O</t>
        </is>
      </c>
      <c r="G7" t="inlineStr">
        <is>
          <t>NV</t>
        </is>
      </c>
      <c r="H7" t="inlineStr">
        <is>
          <t>Retail Power Marketer</t>
        </is>
      </c>
      <c r="I7" t="inlineStr">
        <is>
          <t>NEVP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30499.1</v>
      </c>
      <c r="Q7" t="n">
        <v>917435</v>
      </c>
      <c r="R7" t="n">
        <v>1</v>
      </c>
      <c r="S7" t="n">
        <v>0</v>
      </c>
      <c r="T7" t="n">
        <v>0</v>
      </c>
      <c r="U7" t="n">
        <v>0</v>
      </c>
      <c r="V7" t="n">
        <v>30499.1</v>
      </c>
      <c r="W7" t="n">
        <v>917435</v>
      </c>
      <c r="X7" t="n">
        <v>1</v>
      </c>
      <c r="Y7">
        <f>IF(ISNUMBER($W7),$W7,0)</f>
        <v/>
      </c>
      <c r="Z7">
        <f>IF(ISNUMBER(SEARCH("Adjustment",$C7)),"excluded",IF($H7="Behind the Meter","excluded",IF(NOT(OR($E7="Bundled",$E7="Energy")),"excluded",IF(OR($H7="Retail Power Marketer",$H7="Community Choice Aggregator",$E7="Energy"),"procurement",IF(OR($H7="Municipal",$H7="Cooperative",$H7="Federal",$H7="State",$H7="Political Subdivision"),"cost_service",IF($H7="Investor Owned",IF(AND(COUNTIF(Parameters!$A$4:$A$33,$G7)&gt;0,COUNTIF(Parameters!$B$4:$B$33,$B7)=0),"procurement","cost_service"),"unclassified"))))))</f>
        <v/>
      </c>
    </row>
    <row r="8">
      <c r="A8" t="n">
        <v>2024</v>
      </c>
      <c r="B8" t="n">
        <v>13073</v>
      </c>
      <c r="C8" t="inlineStr">
        <is>
          <t>Mt Wheeler Power, Inc</t>
        </is>
      </c>
      <c r="D8" t="inlineStr">
        <is>
          <t>A</t>
        </is>
      </c>
      <c r="E8" t="inlineStr">
        <is>
          <t>Bundled</t>
        </is>
      </c>
      <c r="F8" t="inlineStr">
        <is>
          <t>O</t>
        </is>
      </c>
      <c r="G8" t="inlineStr">
        <is>
          <t>NV</t>
        </is>
      </c>
      <c r="H8" t="inlineStr">
        <is>
          <t>Cooperative</t>
        </is>
      </c>
      <c r="I8" t="inlineStr">
        <is>
          <t>NEVP</t>
        </is>
      </c>
      <c r="J8" t="n">
        <v>7274.2</v>
      </c>
      <c r="K8" t="n">
        <v>85575</v>
      </c>
      <c r="L8" t="n">
        <v>5169</v>
      </c>
      <c r="M8" t="n">
        <v>3978.5</v>
      </c>
      <c r="N8" t="n">
        <v>41561</v>
      </c>
      <c r="O8" t="n">
        <v>1710</v>
      </c>
      <c r="P8" t="n">
        <v>30259.6</v>
      </c>
      <c r="Q8" t="n">
        <v>434730</v>
      </c>
      <c r="R8" t="n">
        <v>461</v>
      </c>
      <c r="S8" t="n">
        <v>0</v>
      </c>
      <c r="T8" t="n">
        <v>0</v>
      </c>
      <c r="U8" t="n">
        <v>0</v>
      </c>
      <c r="V8" t="n">
        <v>41512.3</v>
      </c>
      <c r="W8" t="n">
        <v>561866</v>
      </c>
      <c r="X8" t="n">
        <v>7340</v>
      </c>
      <c r="Y8">
        <f>IF(ISNUMBER($W8),$W8,0)</f>
        <v/>
      </c>
      <c r="Z8">
        <f>IF(ISNUMBER(SEARCH("Adjustment",$C8)),"excluded",IF($H8="Behind the Meter","excluded",IF(NOT(OR($E8="Bundled",$E8="Energy")),"excluded",IF(OR($H8="Retail Power Marketer",$H8="Community Choice Aggregator",$E8="Energy"),"procurement",IF(OR($H8="Municipal",$H8="Cooperative",$H8="Federal",$H8="State",$H8="Political Subdivision"),"cost_service",IF($H8="Investor Owned",IF(AND(COUNTIF(Parameters!$A$4:$A$33,$G8)&gt;0,COUNTIF(Parameters!$B$4:$B$33,$B8)=0),"procurement","cost_service"),"unclassified"))))))</f>
        <v/>
      </c>
    </row>
    <row r="9">
      <c r="A9" t="n">
        <v>2024</v>
      </c>
      <c r="B9" t="n">
        <v>13407</v>
      </c>
      <c r="C9" t="inlineStr">
        <is>
          <t>Nevada Power Co</t>
        </is>
      </c>
      <c r="D9" t="inlineStr">
        <is>
          <t>A</t>
        </is>
      </c>
      <c r="E9" t="inlineStr">
        <is>
          <t>Bundled</t>
        </is>
      </c>
      <c r="F9" t="inlineStr">
        <is>
          <t>O</t>
        </is>
      </c>
      <c r="G9" t="inlineStr">
        <is>
          <t>NV</t>
        </is>
      </c>
      <c r="H9" t="inlineStr">
        <is>
          <t>Investor Owned</t>
        </is>
      </c>
      <c r="I9" t="inlineStr">
        <is>
          <t>NEVP</t>
        </is>
      </c>
      <c r="J9" t="n">
        <v>1615271.8</v>
      </c>
      <c r="K9" t="n">
        <v>10535373</v>
      </c>
      <c r="L9" t="n">
        <v>916385</v>
      </c>
      <c r="M9" t="n">
        <v>630060.4</v>
      </c>
      <c r="N9" t="n">
        <v>5856111</v>
      </c>
      <c r="O9" t="n">
        <v>117014</v>
      </c>
      <c r="P9" t="n">
        <v>576846</v>
      </c>
      <c r="Q9" t="n">
        <v>5715958</v>
      </c>
      <c r="R9" t="n">
        <v>1554</v>
      </c>
      <c r="S9" t="n">
        <v>814</v>
      </c>
      <c r="T9" t="n">
        <v>7638</v>
      </c>
      <c r="U9" t="n">
        <v>1</v>
      </c>
      <c r="V9" t="n">
        <v>2822992.2</v>
      </c>
      <c r="W9" t="n">
        <v>22115080</v>
      </c>
      <c r="X9" t="n">
        <v>1034954</v>
      </c>
      <c r="Y9">
        <f>IF(ISNUMBER($W9),$W9,0)</f>
        <v/>
      </c>
      <c r="Z9">
        <f>IF(ISNUMBER(SEARCH("Adjustment",$C9)),"excluded",IF($H9="Behind the Meter","excluded",IF(NOT(OR($E9="Bundled",$E9="Energy")),"excluded",IF(OR($H9="Retail Power Marketer",$H9="Community Choice Aggregator",$E9="Energy"),"procurement",IF(OR($H9="Municipal",$H9="Cooperative",$H9="Federal",$H9="State",$H9="Political Subdivision"),"cost_service",IF($H9="Investor Owned",IF(AND(COUNTIF(Parameters!$A$4:$A$33,$G9)&gt;0,COUNTIF(Parameters!$B$4:$B$33,$B9)=0),"procurement","cost_service"),"unclassified"))))))</f>
        <v/>
      </c>
    </row>
    <row r="10">
      <c r="A10" t="n">
        <v>2024</v>
      </c>
      <c r="B10" t="n">
        <v>13407</v>
      </c>
      <c r="C10" t="inlineStr">
        <is>
          <t>Nevada Power Co</t>
        </is>
      </c>
      <c r="D10" t="inlineStr">
        <is>
          <t>C</t>
        </is>
      </c>
      <c r="E10" t="inlineStr">
        <is>
          <t>Delivery</t>
        </is>
      </c>
      <c r="F10" t="inlineStr">
        <is>
          <t>O</t>
        </is>
      </c>
      <c r="G10" t="inlineStr">
        <is>
          <t>NV</t>
        </is>
      </c>
      <c r="H10" t="inlineStr">
        <is>
          <t>Investor Owned</t>
        </is>
      </c>
      <c r="I10" t="inlineStr">
        <is>
          <t>NEVP</t>
        </is>
      </c>
      <c r="J10" t="n">
        <v>0</v>
      </c>
      <c r="K10" t="n">
        <v>0</v>
      </c>
      <c r="L10" t="n">
        <v>0</v>
      </c>
      <c r="M10" t="n">
        <v>17787.4</v>
      </c>
      <c r="N10" t="n">
        <v>2803561</v>
      </c>
      <c r="O10" t="n">
        <v>183</v>
      </c>
      <c r="P10" t="n">
        <v>362.6</v>
      </c>
      <c r="Q10" t="n">
        <v>110677</v>
      </c>
      <c r="R10" t="n">
        <v>2</v>
      </c>
      <c r="S10" t="n">
        <v>0</v>
      </c>
      <c r="T10" t="n">
        <v>0</v>
      </c>
      <c r="U10" t="n">
        <v>0</v>
      </c>
      <c r="V10" t="n">
        <v>18150</v>
      </c>
      <c r="W10" t="n">
        <v>2914238</v>
      </c>
      <c r="X10" t="n">
        <v>185</v>
      </c>
      <c r="Y10">
        <f>IF(ISNUMBER($W10),$W10,0)</f>
        <v/>
      </c>
      <c r="Z10">
        <f>IF(ISNUMBER(SEARCH("Adjustment",$C10)),"excluded",IF($H10="Behind the Meter","excluded",IF(NOT(OR($E10="Bundled",$E10="Energy")),"excluded",IF(OR($H10="Retail Power Marketer",$H10="Community Choice Aggregator",$E10="Energy"),"procurement",IF(OR($H10="Municipal",$H10="Cooperative",$H10="Federal",$H10="State",$H10="Political Subdivision"),"cost_service",IF($H10="Investor Owned",IF(AND(COUNTIF(Parameters!$A$4:$A$33,$G10)&gt;0,COUNTIF(Parameters!$B$4:$B$33,$B10)=0),"procurement","cost_service"),"unclassified"))))))</f>
        <v/>
      </c>
    </row>
    <row r="11">
      <c r="A11" t="n">
        <v>2024</v>
      </c>
      <c r="B11" t="n">
        <v>14245</v>
      </c>
      <c r="C11" t="inlineStr">
        <is>
          <t>Overton Power District No 5</t>
        </is>
      </c>
      <c r="D11" t="inlineStr">
        <is>
          <t>A</t>
        </is>
      </c>
      <c r="E11" t="inlineStr">
        <is>
          <t>Bundled</t>
        </is>
      </c>
      <c r="F11" t="inlineStr">
        <is>
          <t>O</t>
        </is>
      </c>
      <c r="G11" t="inlineStr">
        <is>
          <t>NV</t>
        </is>
      </c>
      <c r="H11" t="inlineStr">
        <is>
          <t>Political Subdivision</t>
        </is>
      </c>
      <c r="I11" t="inlineStr">
        <is>
          <t>NEVP</t>
        </is>
      </c>
      <c r="J11" t="n">
        <v>24614</v>
      </c>
      <c r="K11" t="n">
        <v>230182</v>
      </c>
      <c r="L11" t="n">
        <v>15545</v>
      </c>
      <c r="M11" t="n">
        <v>11990.2</v>
      </c>
      <c r="N11" t="n">
        <v>122800</v>
      </c>
      <c r="O11" t="n">
        <v>2945</v>
      </c>
      <c r="P11" t="n">
        <v>12338.2</v>
      </c>
      <c r="Q11" t="n">
        <v>109749</v>
      </c>
      <c r="R11" t="n">
        <v>49</v>
      </c>
      <c r="S11" t="inlineStr">
        <is>
          <t>.</t>
        </is>
      </c>
      <c r="T11" t="inlineStr">
        <is>
          <t>.</t>
        </is>
      </c>
      <c r="U11" t="inlineStr">
        <is>
          <t>.</t>
        </is>
      </c>
      <c r="V11" t="n">
        <v>48942.4</v>
      </c>
      <c r="W11" t="n">
        <v>462731</v>
      </c>
      <c r="X11" t="n">
        <v>18539</v>
      </c>
      <c r="Y11">
        <f>IF(ISNUMBER($W11),$W11,0)</f>
        <v/>
      </c>
      <c r="Z11">
        <f>IF(ISNUMBER(SEARCH("Adjustment",$C11)),"excluded",IF($H11="Behind the Meter","excluded",IF(NOT(OR($E11="Bundled",$E11="Energy")),"excluded",IF(OR($H11="Retail Power Marketer",$H11="Community Choice Aggregator",$E11="Energy"),"procurement",IF(OR($H11="Municipal",$H11="Cooperative",$H11="Federal",$H11="State",$H11="Political Subdivision"),"cost_service",IF($H11="Investor Owned",IF(AND(COUNTIF(Parameters!$A$4:$A$33,$G11)&gt;0,COUNTIF(Parameters!$B$4:$B$33,$B11)=0),"procurement","cost_service"),"unclassified"))))))</f>
        <v/>
      </c>
    </row>
    <row r="12">
      <c r="A12" t="n">
        <v>2024</v>
      </c>
      <c r="B12" t="n">
        <v>17166</v>
      </c>
      <c r="C12" t="inlineStr">
        <is>
          <t>Sierra Pacific Power Co</t>
        </is>
      </c>
      <c r="D12" t="inlineStr">
        <is>
          <t>A</t>
        </is>
      </c>
      <c r="E12" t="inlineStr">
        <is>
          <t>Bundled</t>
        </is>
      </c>
      <c r="F12" t="inlineStr">
        <is>
          <t>O</t>
        </is>
      </c>
      <c r="G12" t="inlineStr">
        <is>
          <t>NV</t>
        </is>
      </c>
      <c r="H12" t="inlineStr">
        <is>
          <t>Investor Owned</t>
        </is>
      </c>
      <c r="I12" t="inlineStr">
        <is>
          <t>NEVP</t>
        </is>
      </c>
      <c r="J12" t="n">
        <v>395796.6</v>
      </c>
      <c r="K12" t="n">
        <v>2726243</v>
      </c>
      <c r="L12" t="n">
        <v>330891</v>
      </c>
      <c r="M12" t="n">
        <v>409562</v>
      </c>
      <c r="N12" t="n">
        <v>3647749</v>
      </c>
      <c r="O12" t="n">
        <v>49425</v>
      </c>
      <c r="P12" t="n">
        <v>222328.5</v>
      </c>
      <c r="Q12" t="n">
        <v>2280204</v>
      </c>
      <c r="R12" t="n">
        <v>1532</v>
      </c>
      <c r="S12" t="n">
        <v>0</v>
      </c>
      <c r="T12" t="n">
        <v>0</v>
      </c>
      <c r="U12" t="n">
        <v>0</v>
      </c>
      <c r="V12" t="n">
        <v>1027687.1</v>
      </c>
      <c r="W12" t="n">
        <v>8654196</v>
      </c>
      <c r="X12" t="n">
        <v>381848</v>
      </c>
      <c r="Y12">
        <f>IF(ISNUMBER($W12),$W12,0)</f>
        <v/>
      </c>
      <c r="Z12">
        <f>IF(ISNUMBER(SEARCH("Adjustment",$C12)),"excluded",IF($H12="Behind the Meter","excluded",IF(NOT(OR($E12="Bundled",$E12="Energy")),"excluded",IF(OR($H12="Retail Power Marketer",$H12="Community Choice Aggregator",$E12="Energy"),"procurement",IF(OR($H12="Municipal",$H12="Cooperative",$H12="Federal",$H12="State",$H12="Political Subdivision"),"cost_service",IF($H12="Investor Owned",IF(AND(COUNTIF(Parameters!$A$4:$A$33,$G12)&gt;0,COUNTIF(Parameters!$B$4:$B$33,$B12)=0),"procurement","cost_service"),"unclassified"))))))</f>
        <v/>
      </c>
    </row>
    <row r="13">
      <c r="A13" t="n">
        <v>2024</v>
      </c>
      <c r="B13" t="n">
        <v>17166</v>
      </c>
      <c r="C13" t="inlineStr">
        <is>
          <t>Sierra Pacific Power Co</t>
        </is>
      </c>
      <c r="D13" t="inlineStr">
        <is>
          <t>C</t>
        </is>
      </c>
      <c r="E13" t="inlineStr">
        <is>
          <t>Delivery</t>
        </is>
      </c>
      <c r="F13" t="inlineStr">
        <is>
          <t>O</t>
        </is>
      </c>
      <c r="G13" t="inlineStr">
        <is>
          <t>NV</t>
        </is>
      </c>
      <c r="H13" t="inlineStr">
        <is>
          <t>Investor Owned</t>
        </is>
      </c>
      <c r="I13" t="inlineStr">
        <is>
          <t>NEVP</t>
        </is>
      </c>
      <c r="J13" t="inlineStr">
        <is>
          <t>.</t>
        </is>
      </c>
      <c r="K13" t="inlineStr">
        <is>
          <t>.</t>
        </is>
      </c>
      <c r="L13" t="inlineStr">
        <is>
          <t>.</t>
        </is>
      </c>
      <c r="M13" t="n">
        <v>2309.9</v>
      </c>
      <c r="N13" t="n">
        <v>522550</v>
      </c>
      <c r="O13" t="n">
        <v>18</v>
      </c>
      <c r="P13" t="n">
        <v>6793.9</v>
      </c>
      <c r="Q13" t="n">
        <v>2441334</v>
      </c>
      <c r="R13" t="n">
        <v>7</v>
      </c>
      <c r="S13" t="inlineStr">
        <is>
          <t>.</t>
        </is>
      </c>
      <c r="T13" t="inlineStr">
        <is>
          <t>.</t>
        </is>
      </c>
      <c r="U13" t="inlineStr">
        <is>
          <t>.</t>
        </is>
      </c>
      <c r="V13" t="n">
        <v>9103.799999999999</v>
      </c>
      <c r="W13" t="n">
        <v>2963884</v>
      </c>
      <c r="X13" t="n">
        <v>25</v>
      </c>
      <c r="Y13">
        <f>IF(ISNUMBER($W13),$W13,0)</f>
        <v/>
      </c>
      <c r="Z13">
        <f>IF(ISNUMBER(SEARCH("Adjustment",$C13)),"excluded",IF($H13="Behind the Meter","excluded",IF(NOT(OR($E13="Bundled",$E13="Energy")),"excluded",IF(OR($H13="Retail Power Marketer",$H13="Community Choice Aggregator",$E13="Energy"),"procurement",IF(OR($H13="Municipal",$H13="Cooperative",$H13="Federal",$H13="State",$H13="Political Subdivision"),"cost_service",IF($H13="Investor Owned",IF(AND(COUNTIF(Parameters!$A$4:$A$33,$G13)&gt;0,COUNTIF(Parameters!$B$4:$B$33,$B13)=0),"procurement","cost_service"),"unclassified"))))))</f>
        <v/>
      </c>
    </row>
    <row r="14">
      <c r="A14" t="n">
        <v>2024</v>
      </c>
      <c r="B14" t="n">
        <v>18260</v>
      </c>
      <c r="C14" t="inlineStr">
        <is>
          <t>Surprise Valley Electrification</t>
        </is>
      </c>
      <c r="D14" t="inlineStr">
        <is>
          <t>A</t>
        </is>
      </c>
      <c r="E14" t="inlineStr">
        <is>
          <t>Bundled</t>
        </is>
      </c>
      <c r="F14" t="inlineStr">
        <is>
          <t>O</t>
        </is>
      </c>
      <c r="G14" t="inlineStr">
        <is>
          <t>NV</t>
        </is>
      </c>
      <c r="H14" t="inlineStr">
        <is>
          <t>Cooperative</t>
        </is>
      </c>
      <c r="I14" t="inlineStr">
        <is>
          <t>PACW</t>
        </is>
      </c>
      <c r="J14" t="n">
        <v>7.6</v>
      </c>
      <c r="K14" t="n">
        <v>55</v>
      </c>
      <c r="L14" t="n">
        <v>6</v>
      </c>
      <c r="M14" t="n">
        <v>8.5</v>
      </c>
      <c r="N14" t="n">
        <v>61</v>
      </c>
      <c r="O14" t="n">
        <v>7</v>
      </c>
      <c r="P14" t="n">
        <v>5.8</v>
      </c>
      <c r="Q14" t="n">
        <v>16</v>
      </c>
      <c r="R14" t="n">
        <v>4</v>
      </c>
      <c r="S14" t="n">
        <v>0</v>
      </c>
      <c r="T14" t="n">
        <v>0</v>
      </c>
      <c r="U14" t="n">
        <v>0</v>
      </c>
      <c r="V14" t="n">
        <v>21.9</v>
      </c>
      <c r="W14" t="n">
        <v>132</v>
      </c>
      <c r="X14" t="n">
        <v>17</v>
      </c>
      <c r="Y14">
        <f>IF(ISNUMBER($W14),$W14,0)</f>
        <v/>
      </c>
      <c r="Z14">
        <f>IF(ISNUMBER(SEARCH("Adjustment",$C14)),"excluded",IF($H14="Behind the Meter","excluded",IF(NOT(OR($E14="Bundled",$E14="Energy")),"excluded",IF(OR($H14="Retail Power Marketer",$H14="Community Choice Aggregator",$E14="Energy"),"procurement",IF(OR($H14="Municipal",$H14="Cooperative",$H14="Federal",$H14="State",$H14="Political Subdivision"),"cost_service",IF($H14="Investor Owned",IF(AND(COUNTIF(Parameters!$A$4:$A$33,$G14)&gt;0,COUNTIF(Parameters!$B$4:$B$33,$B14)=0),"procurement","cost_service"),"unclassified"))))))</f>
        <v/>
      </c>
    </row>
    <row r="15">
      <c r="A15" t="n">
        <v>2024</v>
      </c>
      <c r="B15" t="n">
        <v>18995</v>
      </c>
      <c r="C15" t="inlineStr">
        <is>
          <t>Tenaska Power Services</t>
        </is>
      </c>
      <c r="D15" t="inlineStr">
        <is>
          <t>B</t>
        </is>
      </c>
      <c r="E15" t="inlineStr">
        <is>
          <t>Energy</t>
        </is>
      </c>
      <c r="F15" t="inlineStr">
        <is>
          <t>O</t>
        </is>
      </c>
      <c r="G15" t="inlineStr">
        <is>
          <t>NV</t>
        </is>
      </c>
      <c r="H15" t="inlineStr">
        <is>
          <t>Retail Power Marketer</t>
        </is>
      </c>
      <c r="I15" t="inlineStr">
        <is>
          <t>NEVP</t>
        </is>
      </c>
      <c r="J15" t="n">
        <v>0</v>
      </c>
      <c r="K15" t="n">
        <v>0</v>
      </c>
      <c r="L15" t="n">
        <v>0</v>
      </c>
      <c r="M15" t="n">
        <v>229863.8</v>
      </c>
      <c r="N15" t="n">
        <v>2962558</v>
      </c>
      <c r="O15" t="n">
        <v>11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229863.8</v>
      </c>
      <c r="W15" t="n">
        <v>2962558</v>
      </c>
      <c r="X15" t="n">
        <v>11</v>
      </c>
      <c r="Y15">
        <f>IF(ISNUMBER($W15),$W15,0)</f>
        <v/>
      </c>
      <c r="Z15">
        <f>IF(ISNUMBER(SEARCH("Adjustment",$C15)),"excluded",IF($H15="Behind the Meter","excluded",IF(NOT(OR($E15="Bundled",$E15="Energy")),"excluded",IF(OR($H15="Retail Power Marketer",$H15="Community Choice Aggregator",$E15="Energy"),"procurement",IF(OR($H15="Municipal",$H15="Cooperative",$H15="Federal",$H15="State",$H15="Political Subdivision"),"cost_service",IF($H15="Investor Owned",IF(AND(COUNTIF(Parameters!$A$4:$A$33,$G15)&gt;0,COUNTIF(Parameters!$B$4:$B$33,$B15)=0),"procurement","cost_service"),"unclassified"))))))</f>
        <v/>
      </c>
    </row>
    <row r="16">
      <c r="A16" t="n">
        <v>2024</v>
      </c>
      <c r="B16" t="n">
        <v>19840</v>
      </c>
      <c r="C16" t="inlineStr">
        <is>
          <t>Valley Electric Assn, Inc</t>
        </is>
      </c>
      <c r="D16" t="inlineStr">
        <is>
          <t>A</t>
        </is>
      </c>
      <c r="E16" t="inlineStr">
        <is>
          <t>Bundled</t>
        </is>
      </c>
      <c r="F16" t="inlineStr">
        <is>
          <t>O</t>
        </is>
      </c>
      <c r="G16" t="inlineStr">
        <is>
          <t>NV</t>
        </is>
      </c>
      <c r="H16" t="inlineStr">
        <is>
          <t>Cooperative</t>
        </is>
      </c>
      <c r="I16" t="inlineStr">
        <is>
          <t>NEVP</t>
        </is>
      </c>
      <c r="J16" t="n">
        <v>53734.4</v>
      </c>
      <c r="K16" t="n">
        <v>321264</v>
      </c>
      <c r="L16" t="n">
        <v>22368</v>
      </c>
      <c r="M16" t="n">
        <v>32599.8</v>
      </c>
      <c r="N16" t="n">
        <v>233068</v>
      </c>
      <c r="O16" t="n">
        <v>2462</v>
      </c>
      <c r="P16" t="n">
        <v>3081.6</v>
      </c>
      <c r="Q16" t="n">
        <v>27425</v>
      </c>
      <c r="R16" t="n">
        <v>192</v>
      </c>
      <c r="S16" t="n">
        <v>0</v>
      </c>
      <c r="T16" t="n">
        <v>0</v>
      </c>
      <c r="U16" t="n">
        <v>0</v>
      </c>
      <c r="V16" t="n">
        <v>89415.8</v>
      </c>
      <c r="W16" t="n">
        <v>581757</v>
      </c>
      <c r="X16" t="n">
        <v>25022</v>
      </c>
      <c r="Y16">
        <f>IF(ISNUMBER($W16),$W16,0)</f>
        <v/>
      </c>
      <c r="Z16">
        <f>IF(ISNUMBER(SEARCH("Adjustment",$C16)),"excluded",IF($H16="Behind the Meter","excluded",IF(NOT(OR($E16="Bundled",$E16="Energy")),"excluded",IF(OR($H16="Retail Power Marketer",$H16="Community Choice Aggregator",$E16="Energy"),"procurement",IF(OR($H16="Municipal",$H16="Cooperative",$H16="Federal",$H16="State",$H16="Political Subdivision"),"cost_service",IF($H16="Investor Owned",IF(AND(COUNTIF(Parameters!$A$4:$A$33,$G16)&gt;0,COUNTIF(Parameters!$B$4:$B$33,$B16)=0),"procurement","cost_service"),"unclassified"))))))</f>
        <v/>
      </c>
    </row>
    <row r="17">
      <c r="A17" t="n">
        <v>2024</v>
      </c>
      <c r="B17" t="n">
        <v>20332</v>
      </c>
      <c r="C17" t="inlineStr">
        <is>
          <t>Wells Rural Electric Co</t>
        </is>
      </c>
      <c r="D17" t="inlineStr">
        <is>
          <t>A</t>
        </is>
      </c>
      <c r="E17" t="inlineStr">
        <is>
          <t>Bundled</t>
        </is>
      </c>
      <c r="F17" t="inlineStr">
        <is>
          <t>O</t>
        </is>
      </c>
      <c r="G17" t="inlineStr">
        <is>
          <t>NV</t>
        </is>
      </c>
      <c r="H17" t="inlineStr">
        <is>
          <t>Cooperative</t>
        </is>
      </c>
      <c r="I17" t="inlineStr">
        <is>
          <t>NEVP</t>
        </is>
      </c>
      <c r="J17" t="n">
        <v>5946.1</v>
      </c>
      <c r="K17" t="n">
        <v>59139</v>
      </c>
      <c r="L17" t="n">
        <v>4621</v>
      </c>
      <c r="M17" t="n">
        <v>4579.8</v>
      </c>
      <c r="N17" t="n">
        <v>49388</v>
      </c>
      <c r="O17" t="n">
        <v>957</v>
      </c>
      <c r="P17" t="n">
        <v>26489.1</v>
      </c>
      <c r="Q17" t="n">
        <v>510277</v>
      </c>
      <c r="R17" t="n">
        <v>171</v>
      </c>
      <c r="S17" t="inlineStr">
        <is>
          <t>.</t>
        </is>
      </c>
      <c r="T17" t="inlineStr">
        <is>
          <t>.</t>
        </is>
      </c>
      <c r="U17" t="inlineStr">
        <is>
          <t>.</t>
        </is>
      </c>
      <c r="V17" t="n">
        <v>37015</v>
      </c>
      <c r="W17" t="n">
        <v>618804</v>
      </c>
      <c r="X17" t="n">
        <v>5749</v>
      </c>
      <c r="Y17">
        <f>IF(ISNUMBER($W17),$W17,0)</f>
        <v/>
      </c>
      <c r="Z17">
        <f>IF(ISNUMBER(SEARCH("Adjustment",$C17)),"excluded",IF($H17="Behind the Meter","excluded",IF(NOT(OR($E17="Bundled",$E17="Energy")),"excluded",IF(OR($H17="Retail Power Marketer",$H17="Community Choice Aggregator",$E17="Energy"),"procurement",IF(OR($H17="Municipal",$H17="Cooperative",$H17="Federal",$H17="State",$H17="Political Subdivision"),"cost_service",IF($H17="Investor Owned",IF(AND(COUNTIF(Parameters!$A$4:$A$33,$G17)&gt;0,COUNTIF(Parameters!$B$4:$B$33,$B17)=0),"procurement","cost_service"),"unclassified"))))))</f>
        <v/>
      </c>
    </row>
    <row r="18">
      <c r="A18" t="n">
        <v>2024</v>
      </c>
      <c r="B18" t="n">
        <v>22814</v>
      </c>
      <c r="C18" t="inlineStr">
        <is>
          <t>Raft Rural Elec Coop Inc</t>
        </is>
      </c>
      <c r="D18" t="inlineStr">
        <is>
          <t>A</t>
        </is>
      </c>
      <c r="E18" t="inlineStr">
        <is>
          <t>Bundled</t>
        </is>
      </c>
      <c r="F18" t="inlineStr">
        <is>
          <t>O</t>
        </is>
      </c>
      <c r="G18" t="inlineStr">
        <is>
          <t>NV</t>
        </is>
      </c>
      <c r="H18" t="inlineStr">
        <is>
          <t>Cooperative</t>
        </is>
      </c>
      <c r="I18" t="inlineStr">
        <is>
          <t>BPAT</t>
        </is>
      </c>
      <c r="J18" t="n">
        <v>1701</v>
      </c>
      <c r="K18" t="n">
        <v>16609</v>
      </c>
      <c r="L18" t="n">
        <v>1564</v>
      </c>
      <c r="M18" t="n">
        <v>1935</v>
      </c>
      <c r="N18" t="n">
        <v>29292</v>
      </c>
      <c r="O18" t="n">
        <v>268</v>
      </c>
      <c r="P18" t="n">
        <v>238</v>
      </c>
      <c r="Q18" t="n">
        <v>4630</v>
      </c>
      <c r="R18" t="n">
        <v>51</v>
      </c>
      <c r="S18" t="n">
        <v>0</v>
      </c>
      <c r="T18" t="n">
        <v>0</v>
      </c>
      <c r="U18" t="n">
        <v>0</v>
      </c>
      <c r="V18" t="n">
        <v>3874</v>
      </c>
      <c r="W18" t="n">
        <v>50531</v>
      </c>
      <c r="X18" t="n">
        <v>1883</v>
      </c>
      <c r="Y18">
        <f>IF(ISNUMBER($W18),$W18,0)</f>
        <v/>
      </c>
      <c r="Z18">
        <f>IF(ISNUMBER(SEARCH("Adjustment",$C18)),"excluded",IF($H18="Behind the Meter","excluded",IF(NOT(OR($E18="Bundled",$E18="Energy")),"excluded",IF(OR($H18="Retail Power Marketer",$H18="Community Choice Aggregator",$E18="Energy"),"procurement",IF(OR($H18="Municipal",$H18="Cooperative",$H18="Federal",$H18="State",$H18="Political Subdivision"),"cost_service",IF($H18="Investor Owned",IF(AND(COUNTIF(Parameters!$A$4:$A$33,$G18)&gt;0,COUNTIF(Parameters!$B$4:$B$33,$B18)=0),"procurement","cost_service"),"unclassified"))))))</f>
        <v/>
      </c>
    </row>
    <row r="19">
      <c r="A19" t="n">
        <v>2024</v>
      </c>
      <c r="B19" t="n">
        <v>27000</v>
      </c>
      <c r="C19" t="inlineStr">
        <is>
          <t>WAPA-- Western Area Power Administration</t>
        </is>
      </c>
      <c r="D19" t="inlineStr">
        <is>
          <t>A</t>
        </is>
      </c>
      <c r="E19" t="inlineStr">
        <is>
          <t>Bundled</t>
        </is>
      </c>
      <c r="F19" t="inlineStr">
        <is>
          <t>O</t>
        </is>
      </c>
      <c r="G19" t="inlineStr">
        <is>
          <t>NV</t>
        </is>
      </c>
      <c r="H19" t="inlineStr">
        <is>
          <t>Federal</t>
        </is>
      </c>
      <c r="I19" t="inlineStr">
        <is>
          <t>WALC</t>
        </is>
      </c>
      <c r="J19" t="n">
        <v>0</v>
      </c>
      <c r="K19" t="n">
        <v>0</v>
      </c>
      <c r="L19" t="n">
        <v>0</v>
      </c>
      <c r="M19" t="n">
        <v>668</v>
      </c>
      <c r="N19" t="n">
        <v>26692</v>
      </c>
      <c r="O19" t="n">
        <v>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668</v>
      </c>
      <c r="W19" t="n">
        <v>26692</v>
      </c>
      <c r="X19" t="n">
        <v>3</v>
      </c>
      <c r="Y19">
        <f>IF(ISNUMBER($W19),$W19,0)</f>
        <v/>
      </c>
      <c r="Z19">
        <f>IF(ISNUMBER(SEARCH("Adjustment",$C19)),"excluded",IF($H19="Behind the Meter","excluded",IF(NOT(OR($E19="Bundled",$E19="Energy")),"excluded",IF(OR($H19="Retail Power Marketer",$H19="Community Choice Aggregator",$E19="Energy"),"procurement",IF(OR($H19="Municipal",$H19="Cooperative",$H19="Federal",$H19="State",$H19="Political Subdivision"),"cost_service",IF($H19="Investor Owned",IF(AND(COUNTIF(Parameters!$A$4:$A$33,$G19)&gt;0,COUNTIF(Parameters!$B$4:$B$33,$B19)=0),"procurement","cost_service"),"unclassified"))))))</f>
        <v/>
      </c>
    </row>
    <row r="20">
      <c r="A20" t="n">
        <v>2024</v>
      </c>
      <c r="B20" t="n">
        <v>56223</v>
      </c>
      <c r="C20" t="inlineStr">
        <is>
          <t>Macquarie Energy LLC</t>
        </is>
      </c>
      <c r="D20" t="inlineStr">
        <is>
          <t>B</t>
        </is>
      </c>
      <c r="E20" t="inlineStr">
        <is>
          <t>Energy</t>
        </is>
      </c>
      <c r="F20" t="inlineStr">
        <is>
          <t>O</t>
        </is>
      </c>
      <c r="G20" t="inlineStr">
        <is>
          <t>NV</t>
        </is>
      </c>
      <c r="H20" t="inlineStr">
        <is>
          <t>Retail Power Marketer</t>
        </is>
      </c>
      <c r="I20" t="inlineStr">
        <is>
          <t>NEVP</t>
        </is>
      </c>
      <c r="J20" t="n">
        <v>0</v>
      </c>
      <c r="K20" t="n">
        <v>0</v>
      </c>
      <c r="L20" t="n">
        <v>0</v>
      </c>
      <c r="M20" t="n">
        <v>689.3</v>
      </c>
      <c r="N20" t="n">
        <v>12765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689.3</v>
      </c>
      <c r="W20" t="n">
        <v>12765</v>
      </c>
      <c r="X20" t="n">
        <v>1</v>
      </c>
      <c r="Y20">
        <f>IF(ISNUMBER($W20),$W20,0)</f>
        <v/>
      </c>
      <c r="Z20">
        <f>IF(ISNUMBER(SEARCH("Adjustment",$C20)),"excluded",IF($H20="Behind the Meter","excluded",IF(NOT(OR($E20="Bundled",$E20="Energy")),"excluded",IF(OR($H20="Retail Power Marketer",$H20="Community Choice Aggregator",$E20="Energy"),"procurement",IF(OR($H20="Municipal",$H20="Cooperative",$H20="Federal",$H20="State",$H20="Political Subdivision"),"cost_service",IF($H20="Investor Owned",IF(AND(COUNTIF(Parameters!$A$4:$A$33,$G20)&gt;0,COUNTIF(Parameters!$B$4:$B$33,$B20)=0),"procurement","cost_service"),"unclassified"))))))</f>
        <v/>
      </c>
    </row>
    <row r="21">
      <c r="A21" t="n">
        <v>2024</v>
      </c>
      <c r="B21" t="n">
        <v>57313</v>
      </c>
      <c r="C21" t="inlineStr">
        <is>
          <t>Tesla Inc.</t>
        </is>
      </c>
      <c r="D21" t="inlineStr">
        <is>
          <t>A</t>
        </is>
      </c>
      <c r="E21" t="inlineStr">
        <is>
          <t>Bundled</t>
        </is>
      </c>
      <c r="F21" t="inlineStr">
        <is>
          <t>O</t>
        </is>
      </c>
      <c r="G21" t="inlineStr">
        <is>
          <t>NV</t>
        </is>
      </c>
      <c r="H21" t="inlineStr">
        <is>
          <t>Behind the Meter</t>
        </is>
      </c>
      <c r="I21" t="inlineStr">
        <is>
          <t>NEVP</t>
        </is>
      </c>
      <c r="J21" t="n">
        <v>12591</v>
      </c>
      <c r="K21" t="n">
        <v>102465</v>
      </c>
      <c r="L21" t="n">
        <v>12391</v>
      </c>
      <c r="M21" t="n">
        <v>293</v>
      </c>
      <c r="N21" t="n">
        <v>3315</v>
      </c>
      <c r="O21" t="n">
        <v>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12884</v>
      </c>
      <c r="W21" t="n">
        <v>105780</v>
      </c>
      <c r="X21" t="n">
        <v>12398</v>
      </c>
      <c r="Y21">
        <f>IF(ISNUMBER($W21),$W21,0)</f>
        <v/>
      </c>
      <c r="Z21">
        <f>IF(ISNUMBER(SEARCH("Adjustment",$C21)),"excluded",IF($H21="Behind the Meter","excluded",IF(NOT(OR($E21="Bundled",$E21="Energy")),"excluded",IF(OR($H21="Retail Power Marketer",$H21="Community Choice Aggregator",$E21="Energy"),"procurement",IF(OR($H21="Municipal",$H21="Cooperative",$H21="Federal",$H21="State",$H21="Political Subdivision"),"cost_service",IF($H21="Investor Owned",IF(AND(COUNTIF(Parameters!$A$4:$A$33,$G21)&gt;0,COUNTIF(Parameters!$B$4:$B$33,$B21)=0),"procurement","cost_service"),"unclassified"))))))</f>
        <v/>
      </c>
    </row>
    <row r="22">
      <c r="A22" t="n">
        <v>2024</v>
      </c>
      <c r="B22" t="n">
        <v>58458</v>
      </c>
      <c r="C22" t="inlineStr">
        <is>
          <t>Silver State Energy Association</t>
        </is>
      </c>
      <c r="D22" t="inlineStr">
        <is>
          <t>B</t>
        </is>
      </c>
      <c r="E22" t="inlineStr">
        <is>
          <t>Energy</t>
        </is>
      </c>
      <c r="F22" t="inlineStr">
        <is>
          <t>O</t>
        </is>
      </c>
      <c r="G22" t="inlineStr">
        <is>
          <t>NV</t>
        </is>
      </c>
      <c r="H22" t="inlineStr">
        <is>
          <t>Retail Power Marketer</t>
        </is>
      </c>
      <c r="I22" t="inlineStr">
        <is>
          <t>NEVP</t>
        </is>
      </c>
      <c r="J22" t="n">
        <v>0</v>
      </c>
      <c r="K22" t="n">
        <v>0</v>
      </c>
      <c r="L22" t="n">
        <v>0</v>
      </c>
      <c r="M22" t="n">
        <v>69911</v>
      </c>
      <c r="N22" t="n">
        <v>982858</v>
      </c>
      <c r="O22" t="n">
        <v>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69911</v>
      </c>
      <c r="W22" t="n">
        <v>982858</v>
      </c>
      <c r="X22" t="n">
        <v>7</v>
      </c>
      <c r="Y22">
        <f>IF(ISNUMBER($W22),$W22,0)</f>
        <v/>
      </c>
      <c r="Z22">
        <f>IF(ISNUMBER(SEARCH("Adjustment",$C22)),"excluded",IF($H22="Behind the Meter","excluded",IF(NOT(OR($E22="Bundled",$E22="Energy")),"excluded",IF(OR($H22="Retail Power Marketer",$H22="Community Choice Aggregator",$E22="Energy"),"procurement",IF(OR($H22="Municipal",$H22="Cooperative",$H22="Federal",$H22="State",$H22="Political Subdivision"),"cost_service",IF($H22="Investor Owned",IF(AND(COUNTIF(Parameters!$A$4:$A$33,$G22)&gt;0,COUNTIF(Parameters!$B$4:$B$33,$B22)=0),"procurement","cost_service"),"unclassified"))))))</f>
        <v/>
      </c>
    </row>
    <row r="23">
      <c r="A23" t="n">
        <v>2024</v>
      </c>
      <c r="B23" t="n">
        <v>59579</v>
      </c>
      <c r="C23" t="inlineStr">
        <is>
          <t>Sunnova</t>
        </is>
      </c>
      <c r="D23" t="inlineStr">
        <is>
          <t>A</t>
        </is>
      </c>
      <c r="E23" t="inlineStr">
        <is>
          <t>Bundled</t>
        </is>
      </c>
      <c r="F23" t="inlineStr">
        <is>
          <t>O</t>
        </is>
      </c>
      <c r="G23" t="inlineStr">
        <is>
          <t>NV</t>
        </is>
      </c>
      <c r="H23" t="inlineStr">
        <is>
          <t>Behind the Meter</t>
        </is>
      </c>
      <c r="I23" t="inlineStr">
        <is>
          <t>NEVP</t>
        </is>
      </c>
      <c r="J23" t="n">
        <v>12198</v>
      </c>
      <c r="K23" t="n">
        <v>72356</v>
      </c>
      <c r="L23" t="n">
        <v>7632</v>
      </c>
      <c r="M23" t="inlineStr">
        <is>
          <t>.</t>
        </is>
      </c>
      <c r="N23" t="inlineStr">
        <is>
          <t>.</t>
        </is>
      </c>
      <c r="O23" t="inlineStr">
        <is>
          <t>.</t>
        </is>
      </c>
      <c r="P23" t="inlineStr">
        <is>
          <t>.</t>
        </is>
      </c>
      <c r="Q23" t="inlineStr">
        <is>
          <t>.</t>
        </is>
      </c>
      <c r="R23" t="inlineStr">
        <is>
          <t>.</t>
        </is>
      </c>
      <c r="S23" t="inlineStr">
        <is>
          <t>.</t>
        </is>
      </c>
      <c r="T23" t="inlineStr">
        <is>
          <t>.</t>
        </is>
      </c>
      <c r="U23" t="inlineStr">
        <is>
          <t>.</t>
        </is>
      </c>
      <c r="V23" t="n">
        <v>12198</v>
      </c>
      <c r="W23" t="n">
        <v>72356</v>
      </c>
      <c r="X23" t="n">
        <v>7632</v>
      </c>
      <c r="Y23">
        <f>IF(ISNUMBER($W23),$W23,0)</f>
        <v/>
      </c>
      <c r="Z23">
        <f>IF(ISNUMBER(SEARCH("Adjustment",$C23)),"excluded",IF($H23="Behind the Meter","excluded",IF(NOT(OR($E23="Bundled",$E23="Energy")),"excluded",IF(OR($H23="Retail Power Marketer",$H23="Community Choice Aggregator",$E23="Energy"),"procurement",IF(OR($H23="Municipal",$H23="Cooperative",$H23="Federal",$H23="State",$H23="Political Subdivision"),"cost_service",IF($H23="Investor Owned",IF(AND(COUNTIF(Parameters!$A$4:$A$33,$G23)&gt;0,COUNTIF(Parameters!$B$4:$B$33,$B23)=0),"procurement","cost_service"),"unclassified"))))))</f>
        <v/>
      </c>
    </row>
    <row r="24">
      <c r="A24" t="n">
        <v>2024</v>
      </c>
      <c r="B24" t="n">
        <v>59580</v>
      </c>
      <c r="C24" t="inlineStr">
        <is>
          <t>SunPower Capital, LLC</t>
        </is>
      </c>
      <c r="D24" t="inlineStr">
        <is>
          <t>A</t>
        </is>
      </c>
      <c r="E24" t="inlineStr">
        <is>
          <t>Bundled</t>
        </is>
      </c>
      <c r="F24" t="inlineStr">
        <is>
          <t>O</t>
        </is>
      </c>
      <c r="G24" t="inlineStr">
        <is>
          <t>NV</t>
        </is>
      </c>
      <c r="H24" t="inlineStr">
        <is>
          <t>Behind the Meter</t>
        </is>
      </c>
      <c r="I24" t="inlineStr">
        <is>
          <t>NEVP</t>
        </is>
      </c>
      <c r="J24" t="n">
        <v>2646</v>
      </c>
      <c r="K24" t="n">
        <v>19465</v>
      </c>
      <c r="L24" t="n">
        <v>1357</v>
      </c>
      <c r="M24" t="inlineStr">
        <is>
          <t>.</t>
        </is>
      </c>
      <c r="N24" t="inlineStr">
        <is>
          <t>.</t>
        </is>
      </c>
      <c r="O24" t="inlineStr">
        <is>
          <t>.</t>
        </is>
      </c>
      <c r="P24" t="inlineStr">
        <is>
          <t>.</t>
        </is>
      </c>
      <c r="Q24" t="inlineStr">
        <is>
          <t>.</t>
        </is>
      </c>
      <c r="R24" t="inlineStr">
        <is>
          <t>.</t>
        </is>
      </c>
      <c r="S24" t="inlineStr">
        <is>
          <t>.</t>
        </is>
      </c>
      <c r="T24" t="inlineStr">
        <is>
          <t>.</t>
        </is>
      </c>
      <c r="U24" t="inlineStr">
        <is>
          <t>.</t>
        </is>
      </c>
      <c r="V24" t="n">
        <v>2646</v>
      </c>
      <c r="W24" t="n">
        <v>19465</v>
      </c>
      <c r="X24" t="n">
        <v>1357</v>
      </c>
      <c r="Y24">
        <f>IF(ISNUMBER($W24),$W24,0)</f>
        <v/>
      </c>
      <c r="Z24">
        <f>IF(ISNUMBER(SEARCH("Adjustment",$C24)),"excluded",IF($H24="Behind the Meter","excluded",IF(NOT(OR($E24="Bundled",$E24="Energy")),"excluded",IF(OR($H24="Retail Power Marketer",$H24="Community Choice Aggregator",$E24="Energy"),"procurement",IF(OR($H24="Municipal",$H24="Cooperative",$H24="Federal",$H24="State",$H24="Political Subdivision"),"cost_service",IF($H24="Investor Owned",IF(AND(COUNTIF(Parameters!$A$4:$A$33,$G24)&gt;0,COUNTIF(Parameters!$B$4:$B$33,$B24)=0),"procurement","cost_service"),"unclassified"))))))</f>
        <v/>
      </c>
    </row>
    <row r="25">
      <c r="A25" t="n">
        <v>2024</v>
      </c>
      <c r="B25" t="n">
        <v>59647</v>
      </c>
      <c r="C25" t="inlineStr">
        <is>
          <t>Sunrun Inc.</t>
        </is>
      </c>
      <c r="D25" t="inlineStr">
        <is>
          <t>A</t>
        </is>
      </c>
      <c r="E25" t="inlineStr">
        <is>
          <t>Bundled</t>
        </is>
      </c>
      <c r="F25" t="inlineStr">
        <is>
          <t>O</t>
        </is>
      </c>
      <c r="G25" t="inlineStr">
        <is>
          <t>NV</t>
        </is>
      </c>
      <c r="H25" t="inlineStr">
        <is>
          <t>Behind the Meter</t>
        </is>
      </c>
      <c r="I25" t="inlineStr">
        <is>
          <t>NEVP</t>
        </is>
      </c>
      <c r="J25" t="n">
        <v>38747.4</v>
      </c>
      <c r="K25" t="n">
        <v>267852</v>
      </c>
      <c r="L25" t="n">
        <v>22307</v>
      </c>
      <c r="M25" t="inlineStr">
        <is>
          <t>.</t>
        </is>
      </c>
      <c r="N25" t="inlineStr">
        <is>
          <t>.</t>
        </is>
      </c>
      <c r="O25" t="inlineStr">
        <is>
          <t>.</t>
        </is>
      </c>
      <c r="P25" t="inlineStr">
        <is>
          <t>.</t>
        </is>
      </c>
      <c r="Q25" t="inlineStr">
        <is>
          <t>.</t>
        </is>
      </c>
      <c r="R25" t="inlineStr">
        <is>
          <t>.</t>
        </is>
      </c>
      <c r="S25" t="inlineStr">
        <is>
          <t>.</t>
        </is>
      </c>
      <c r="T25" t="inlineStr">
        <is>
          <t>.</t>
        </is>
      </c>
      <c r="U25" t="inlineStr">
        <is>
          <t>.</t>
        </is>
      </c>
      <c r="V25" t="n">
        <v>38747.4</v>
      </c>
      <c r="W25" t="n">
        <v>267852</v>
      </c>
      <c r="X25" t="n">
        <v>22307</v>
      </c>
      <c r="Y25">
        <f>IF(ISNUMBER($W25),$W25,0)</f>
        <v/>
      </c>
      <c r="Z25">
        <f>IF(ISNUMBER(SEARCH("Adjustment",$C25)),"excluded",IF($H25="Behind the Meter","excluded",IF(NOT(OR($E25="Bundled",$E25="Energy")),"excluded",IF(OR($H25="Retail Power Marketer",$H25="Community Choice Aggregator",$E25="Energy"),"procurement",IF(OR($H25="Municipal",$H25="Cooperative",$H25="Federal",$H25="State",$H25="Political Subdivision"),"cost_service",IF($H25="Investor Owned",IF(AND(COUNTIF(Parameters!$A$4:$A$33,$G25)&gt;0,COUNTIF(Parameters!$B$4:$B$33,$B25)=0),"procurement","cost_service"),"unclassified"))))))</f>
        <v/>
      </c>
    </row>
    <row r="26">
      <c r="A26" t="n">
        <v>2024</v>
      </c>
      <c r="B26" t="n">
        <v>59943</v>
      </c>
      <c r="C26" t="inlineStr">
        <is>
          <t>Spruce Finance</t>
        </is>
      </c>
      <c r="D26" t="inlineStr">
        <is>
          <t>A</t>
        </is>
      </c>
      <c r="E26" t="inlineStr">
        <is>
          <t>Bundled</t>
        </is>
      </c>
      <c r="F26" t="inlineStr">
        <is>
          <t>O</t>
        </is>
      </c>
      <c r="G26" t="inlineStr">
        <is>
          <t>NV</t>
        </is>
      </c>
      <c r="H26" t="inlineStr">
        <is>
          <t>Behind the Meter</t>
        </is>
      </c>
      <c r="I26" t="inlineStr">
        <is>
          <t>NEVP</t>
        </is>
      </c>
      <c r="J26" t="n">
        <v>201.3</v>
      </c>
      <c r="K26" t="n">
        <v>1533</v>
      </c>
      <c r="L26" t="n">
        <v>149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201.3</v>
      </c>
      <c r="W26" t="n">
        <v>1533</v>
      </c>
      <c r="X26" t="n">
        <v>149</v>
      </c>
      <c r="Y26">
        <f>IF(ISNUMBER($W26),$W26,0)</f>
        <v/>
      </c>
      <c r="Z26">
        <f>IF(ISNUMBER(SEARCH("Adjustment",$C26)),"excluded",IF($H26="Behind the Meter","excluded",IF(NOT(OR($E26="Bundled",$E26="Energy")),"excluded",IF(OR($H26="Retail Power Marketer",$H26="Community Choice Aggregator",$E26="Energy"),"procurement",IF(OR($H26="Municipal",$H26="Cooperative",$H26="Federal",$H26="State",$H26="Political Subdivision"),"cost_service",IF($H26="Investor Owned",IF(AND(COUNTIF(Parameters!$A$4:$A$33,$G26)&gt;0,COUNTIF(Parameters!$B$4:$B$33,$B26)=0),"procurement","cost_service"),"unclassified"))))))</f>
        <v/>
      </c>
    </row>
    <row r="27">
      <c r="A27" t="n">
        <v>2024</v>
      </c>
      <c r="B27" t="n">
        <v>60025</v>
      </c>
      <c r="C27" t="inlineStr">
        <is>
          <t>Greenbacker Renewable Energy Corporation</t>
        </is>
      </c>
      <c r="D27" t="inlineStr">
        <is>
          <t>A</t>
        </is>
      </c>
      <c r="E27" t="inlineStr">
        <is>
          <t>Bundled</t>
        </is>
      </c>
      <c r="F27" t="inlineStr">
        <is>
          <t>O</t>
        </is>
      </c>
      <c r="G27" t="inlineStr">
        <is>
          <t>NV</t>
        </is>
      </c>
      <c r="H27" t="inlineStr">
        <is>
          <t>Behind the Meter</t>
        </is>
      </c>
      <c r="I27" t="inlineStr">
        <is>
          <t>NEVP</t>
        </is>
      </c>
      <c r="J27" t="n">
        <v>0</v>
      </c>
      <c r="K27" t="n">
        <v>0</v>
      </c>
      <c r="L27" t="n">
        <v>0</v>
      </c>
      <c r="M27" t="n">
        <v>20.6</v>
      </c>
      <c r="N27" t="n">
        <v>295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20.6</v>
      </c>
      <c r="W27" t="n">
        <v>295</v>
      </c>
      <c r="X27" t="n">
        <v>1</v>
      </c>
      <c r="Y27">
        <f>IF(ISNUMBER($W27),$W27,0)</f>
        <v/>
      </c>
      <c r="Z27">
        <f>IF(ISNUMBER(SEARCH("Adjustment",$C27)),"excluded",IF($H27="Behind the Meter","excluded",IF(NOT(OR($E27="Bundled",$E27="Energy")),"excluded",IF(OR($H27="Retail Power Marketer",$H27="Community Choice Aggregator",$E27="Energy"),"procurement",IF(OR($H27="Municipal",$H27="Cooperative",$H27="Federal",$H27="State",$H27="Political Subdivision"),"cost_service",IF($H27="Investor Owned",IF(AND(COUNTIF(Parameters!$A$4:$A$33,$G27)&gt;0,COUNTIF(Parameters!$B$4:$B$33,$B27)=0),"procurement","cost_service"),"unclassified"))))))</f>
        <v/>
      </c>
    </row>
    <row r="28">
      <c r="A28" t="n">
        <v>2024</v>
      </c>
      <c r="B28" t="n">
        <v>66026</v>
      </c>
      <c r="C28" t="inlineStr">
        <is>
          <t>Palmetto Solar, LLC</t>
        </is>
      </c>
      <c r="D28" t="inlineStr">
        <is>
          <t>A</t>
        </is>
      </c>
      <c r="E28" t="inlineStr">
        <is>
          <t>Bundled</t>
        </is>
      </c>
      <c r="F28" t="inlineStr">
        <is>
          <t>O</t>
        </is>
      </c>
      <c r="G28" t="inlineStr">
        <is>
          <t>NV</t>
        </is>
      </c>
      <c r="H28" t="inlineStr">
        <is>
          <t>Behind the Meter</t>
        </is>
      </c>
      <c r="I28" t="inlineStr">
        <is>
          <t>NEVP</t>
        </is>
      </c>
      <c r="J28" t="n">
        <v>0.8</v>
      </c>
      <c r="K28" t="n">
        <v>2</v>
      </c>
      <c r="L28" t="n">
        <v>1</v>
      </c>
      <c r="M28" t="inlineStr">
        <is>
          <t>.</t>
        </is>
      </c>
      <c r="N28" t="inlineStr">
        <is>
          <t>.</t>
        </is>
      </c>
      <c r="O28" t="inlineStr">
        <is>
          <t>.</t>
        </is>
      </c>
      <c r="P28" t="inlineStr">
        <is>
          <t>.</t>
        </is>
      </c>
      <c r="Q28" t="inlineStr">
        <is>
          <t>.</t>
        </is>
      </c>
      <c r="R28" t="inlineStr">
        <is>
          <t>.</t>
        </is>
      </c>
      <c r="S28" t="inlineStr">
        <is>
          <t>.</t>
        </is>
      </c>
      <c r="T28" t="inlineStr">
        <is>
          <t>.</t>
        </is>
      </c>
      <c r="U28" t="inlineStr">
        <is>
          <t>.</t>
        </is>
      </c>
      <c r="V28" t="n">
        <v>0.8</v>
      </c>
      <c r="W28" t="n">
        <v>2</v>
      </c>
      <c r="X28" t="n">
        <v>1</v>
      </c>
      <c r="Y28">
        <f>IF(ISNUMBER($W28),$W28,0)</f>
        <v/>
      </c>
      <c r="Z28">
        <f>IF(ISNUMBER(SEARCH("Adjustment",$C28)),"excluded",IF($H28="Behind the Meter","excluded",IF(NOT(OR($E28="Bundled",$E28="Energy")),"excluded",IF(OR($H28="Retail Power Marketer",$H28="Community Choice Aggregator",$E28="Energy"),"procurement",IF(OR($H28="Municipal",$H28="Cooperative",$H28="Federal",$H28="State",$H28="Political Subdivision"),"cost_service",IF($H28="Investor Owned",IF(AND(COUNTIF(Parameters!$A$4:$A$33,$G28)&gt;0,COUNTIF(Parameters!$B$4:$B$33,$B28)=0),"procurement","cost_service"),"unclassified"))))))</f>
        <v/>
      </c>
    </row>
    <row r="29">
      <c r="A29" t="n">
        <v>2024</v>
      </c>
      <c r="B29" t="n">
        <v>66399</v>
      </c>
      <c r="C29" t="inlineStr">
        <is>
          <t>Brookfield Renewable Energy Marketing US LLC</t>
        </is>
      </c>
      <c r="D29" t="inlineStr">
        <is>
          <t>B</t>
        </is>
      </c>
      <c r="E29" t="inlineStr">
        <is>
          <t>Energy</t>
        </is>
      </c>
      <c r="F29" t="inlineStr">
        <is>
          <t>O</t>
        </is>
      </c>
      <c r="G29" t="inlineStr">
        <is>
          <t>NV</t>
        </is>
      </c>
      <c r="H29" t="inlineStr">
        <is>
          <t>Retail Power Marketer</t>
        </is>
      </c>
      <c r="I29" t="inlineStr">
        <is>
          <t>NEVP</t>
        </is>
      </c>
      <c r="J29" t="n">
        <v>0</v>
      </c>
      <c r="K29" t="n">
        <v>0</v>
      </c>
      <c r="L29" t="n">
        <v>0</v>
      </c>
      <c r="M29" t="n">
        <v>12159.3</v>
      </c>
      <c r="N29" t="n">
        <v>144754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12159.3</v>
      </c>
      <c r="W29" t="n">
        <v>144754</v>
      </c>
      <c r="X29" t="n">
        <v>1</v>
      </c>
      <c r="Y29">
        <f>IF(ISNUMBER($W29),$W29,0)</f>
        <v/>
      </c>
      <c r="Z29">
        <f>IF(ISNUMBER(SEARCH("Adjustment",$C29)),"excluded",IF($H29="Behind the Meter","excluded",IF(NOT(OR($E29="Bundled",$E29="Energy")),"excluded",IF(OR($H29="Retail Power Marketer",$H29="Community Choice Aggregator",$E29="Energy"),"procurement",IF(OR($H29="Municipal",$H29="Cooperative",$H29="Federal",$H29="State",$H29="Political Subdivision"),"cost_service",IF($H29="Investor Owned",IF(AND(COUNTIF(Parameters!$A$4:$A$33,$G29)&gt;0,COUNTIF(Parameters!$B$4:$B$33,$B29)=0),"procurement","cost_service"),"unclassified"))))))</f>
        <v/>
      </c>
    </row>
    <row r="30">
      <c r="A30" t="n">
        <v>2024</v>
      </c>
      <c r="B30" t="n">
        <v>99999</v>
      </c>
      <c r="C30" t="inlineStr">
        <is>
          <t>Adjustment 2024</t>
        </is>
      </c>
      <c r="D30" t="inlineStr">
        <is>
          <t>A</t>
        </is>
      </c>
      <c r="E30" t="inlineStr">
        <is>
          <t>Bundled</t>
        </is>
      </c>
      <c r="F30" t="inlineStr">
        <is>
          <t>I</t>
        </is>
      </c>
      <c r="G30" t="inlineStr">
        <is>
          <t>NV</t>
        </is>
      </c>
      <c r="H30" t="inlineStr"/>
      <c r="I30" t="inlineStr">
        <is>
          <t>BPAT</t>
        </is>
      </c>
      <c r="J30" t="n">
        <v>1248</v>
      </c>
      <c r="K30" t="n">
        <v>14818</v>
      </c>
      <c r="L30" t="n">
        <v>586</v>
      </c>
      <c r="M30" t="n">
        <v>755.6</v>
      </c>
      <c r="N30" t="n">
        <v>8843</v>
      </c>
      <c r="O30" t="n">
        <v>235</v>
      </c>
      <c r="P30" t="n">
        <v>5553.1</v>
      </c>
      <c r="Q30" t="n">
        <v>92226</v>
      </c>
      <c r="R30" t="n">
        <v>558</v>
      </c>
      <c r="S30" t="n">
        <v>0</v>
      </c>
      <c r="T30" t="n">
        <v>0</v>
      </c>
      <c r="U30" t="n">
        <v>0</v>
      </c>
      <c r="V30" t="n">
        <v>7556.7</v>
      </c>
      <c r="W30" t="n">
        <v>115887</v>
      </c>
      <c r="X30" t="n">
        <v>1379</v>
      </c>
      <c r="Y30">
        <f>IF(ISNUMBER($W30),$W30,0)</f>
        <v/>
      </c>
      <c r="Z30">
        <f>IF(ISNUMBER(SEARCH("Adjustment",$C30)),"excluded",IF($H30="Behind the Meter","excluded",IF(NOT(OR($E30="Bundled",$E30="Energy")),"excluded",IF(OR($H30="Retail Power Marketer",$H30="Community Choice Aggregator",$E30="Energy"),"procurement",IF(OR($H30="Municipal",$H30="Cooperative",$H30="Federal",$H30="State",$H30="Political Subdivision"),"cost_service",IF($H30="Investor Owned",IF(AND(COUNTIF(Parameters!$A$4:$A$33,$G30)&gt;0,COUNTIF(Parameters!$B$4:$B$33,$B30)=0),"procurement","cost_service"),"unclassified"))))))</f>
        <v/>
      </c>
    </row>
    <row r="31">
      <c r="A31" t="n">
        <v>2024</v>
      </c>
      <c r="B31" t="n">
        <v>99999</v>
      </c>
      <c r="C31" t="inlineStr">
        <is>
          <t>Adjustment 2024</t>
        </is>
      </c>
      <c r="D31" t="inlineStr">
        <is>
          <t>A</t>
        </is>
      </c>
      <c r="E31" t="inlineStr">
        <is>
          <t>Bundled</t>
        </is>
      </c>
      <c r="F31" t="inlineStr">
        <is>
          <t>I</t>
        </is>
      </c>
      <c r="G31" t="inlineStr">
        <is>
          <t>NV</t>
        </is>
      </c>
      <c r="H31" t="inlineStr"/>
      <c r="I31" t="inlineStr">
        <is>
          <t>CISO</t>
        </is>
      </c>
      <c r="J31" t="n">
        <v>1120.2</v>
      </c>
      <c r="K31" t="n">
        <v>4793</v>
      </c>
      <c r="L31" t="n">
        <v>445</v>
      </c>
      <c r="M31" t="n">
        <v>12.7</v>
      </c>
      <c r="N31" t="n">
        <v>47</v>
      </c>
      <c r="O31" t="n">
        <v>7</v>
      </c>
      <c r="P31" t="n">
        <v>13.1</v>
      </c>
      <c r="Q31" t="n">
        <v>73</v>
      </c>
      <c r="R31" t="n">
        <v>2</v>
      </c>
      <c r="S31" t="n">
        <v>0</v>
      </c>
      <c r="T31" t="n">
        <v>0</v>
      </c>
      <c r="U31" t="n">
        <v>0</v>
      </c>
      <c r="V31" t="n">
        <v>1146</v>
      </c>
      <c r="W31" t="n">
        <v>4913</v>
      </c>
      <c r="X31" t="n">
        <v>454</v>
      </c>
      <c r="Y31">
        <f>IF(ISNUMBER($W31),$W31,0)</f>
        <v/>
      </c>
      <c r="Z31">
        <f>IF(ISNUMBER(SEARCH("Adjustment",$C31)),"excluded",IF($H31="Behind the Meter","excluded",IF(NOT(OR($E31="Bundled",$E31="Energy")),"excluded",IF(OR($H31="Retail Power Marketer",$H31="Community Choice Aggregator",$E31="Energy"),"procurement",IF(OR($H31="Municipal",$H31="Cooperative",$H31="Federal",$H31="State",$H31="Political Subdivision"),"cost_service",IF($H31="Investor Owned",IF(AND(COUNTIF(Parameters!$A$4:$A$33,$G31)&gt;0,COUNTIF(Parameters!$B$4:$B$33,$B31)=0),"procurement","cost_service"),"unclassified"))))))</f>
        <v/>
      </c>
    </row>
    <row r="32">
      <c r="A32" t="n">
        <v>2024</v>
      </c>
      <c r="B32" t="n">
        <v>99999</v>
      </c>
      <c r="C32" t="inlineStr">
        <is>
          <t>Adjustment 2024</t>
        </is>
      </c>
      <c r="D32" t="inlineStr">
        <is>
          <t>A</t>
        </is>
      </c>
      <c r="E32" t="inlineStr">
        <is>
          <t>Bundled</t>
        </is>
      </c>
      <c r="F32" t="inlineStr">
        <is>
          <t>I</t>
        </is>
      </c>
      <c r="G32" t="inlineStr">
        <is>
          <t>NV</t>
        </is>
      </c>
      <c r="H32" t="inlineStr"/>
      <c r="I32" t="inlineStr">
        <is>
          <t>NEVP</t>
        </is>
      </c>
      <c r="J32" t="n">
        <v>9731.9</v>
      </c>
      <c r="K32" t="n">
        <v>65586</v>
      </c>
      <c r="L32" t="n">
        <v>-37013</v>
      </c>
      <c r="M32" t="n">
        <v>11103</v>
      </c>
      <c r="N32" t="n">
        <v>86182</v>
      </c>
      <c r="O32" t="n">
        <v>1501</v>
      </c>
      <c r="P32" t="n">
        <v>5342.8</v>
      </c>
      <c r="Q32" t="n">
        <v>37583</v>
      </c>
      <c r="R32" t="n">
        <v>192</v>
      </c>
      <c r="S32" t="n">
        <v>0</v>
      </c>
      <c r="T32" t="n">
        <v>0</v>
      </c>
      <c r="U32" t="n">
        <v>0</v>
      </c>
      <c r="V32" t="n">
        <v>26177.7</v>
      </c>
      <c r="W32" t="n">
        <v>189351</v>
      </c>
      <c r="X32" t="n">
        <v>-35320</v>
      </c>
      <c r="Y32">
        <f>IF(ISNUMBER($W32),$W32,0)</f>
        <v/>
      </c>
      <c r="Z32">
        <f>IF(ISNUMBER(SEARCH("Adjustment",$C32)),"excluded",IF($H32="Behind the Meter","excluded",IF(NOT(OR($E32="Bundled",$E32="Energy")),"excluded",IF(OR($H32="Retail Power Marketer",$H32="Community Choice Aggregator",$E32="Energy"),"procurement",IF(OR($H32="Municipal",$H32="Cooperative",$H32="Federal",$H32="State",$H32="Political Subdivision"),"cost_service",IF($H32="Investor Owned",IF(AND(COUNTIF(Parameters!$A$4:$A$33,$G32)&gt;0,COUNTIF(Parameters!$B$4:$B$33,$B32)=0),"procurement","cost_service"),"unclassified"))))))</f>
        <v/>
      </c>
    </row>
    <row r="33">
      <c r="A33" t="n">
        <v>2024</v>
      </c>
      <c r="B33" t="n">
        <v>99999</v>
      </c>
      <c r="C33" t="inlineStr">
        <is>
          <t>Adjustment 2024</t>
        </is>
      </c>
      <c r="D33" t="inlineStr">
        <is>
          <t>A</t>
        </is>
      </c>
      <c r="E33" t="inlineStr">
        <is>
          <t>Bundled</t>
        </is>
      </c>
      <c r="F33" t="inlineStr">
        <is>
          <t>I</t>
        </is>
      </c>
      <c r="G33" t="inlineStr">
        <is>
          <t>NV</t>
        </is>
      </c>
      <c r="H33" t="inlineStr"/>
      <c r="I33" t="inlineStr">
        <is>
          <t>WALC</t>
        </is>
      </c>
      <c r="J33" t="n">
        <v>244</v>
      </c>
      <c r="K33" t="n">
        <v>2079</v>
      </c>
      <c r="L33" t="n">
        <v>206</v>
      </c>
      <c r="M33" t="n">
        <v>1904.6</v>
      </c>
      <c r="N33" t="n">
        <v>15908</v>
      </c>
      <c r="O33" t="n">
        <v>73</v>
      </c>
      <c r="P33" t="n">
        <v>53.4</v>
      </c>
      <c r="Q33" t="n">
        <v>405</v>
      </c>
      <c r="R33" t="n">
        <v>5</v>
      </c>
      <c r="S33" t="n">
        <v>0</v>
      </c>
      <c r="T33" t="n">
        <v>0</v>
      </c>
      <c r="U33" t="n">
        <v>0</v>
      </c>
      <c r="V33" t="n">
        <v>2202</v>
      </c>
      <c r="W33" t="n">
        <v>18392</v>
      </c>
      <c r="X33" t="n">
        <v>284</v>
      </c>
      <c r="Y33">
        <f>IF(ISNUMBER($W33),$W33,0)</f>
        <v/>
      </c>
      <c r="Z33">
        <f>IF(ISNUMBER(SEARCH("Adjustment",$C33)),"excluded",IF($H33="Behind the Meter","excluded",IF(NOT(OR($E33="Bundled",$E33="Energy")),"excluded",IF(OR($H33="Retail Power Marketer",$H33="Community Choice Aggregator",$E33="Energy"),"procurement",IF(OR($H33="Municipal",$H33="Cooperative",$H33="Federal",$H33="State",$H33="Political Subdivision"),"cost_service",IF($H33="Investor Owned",IF(AND(COUNTIF(Parameters!$A$4:$A$33,$G33)&gt;0,COUNTIF(Parameters!$B$4:$B$33,$B33)=0),"procurement","cost_service"),"unclassified"))))))</f>
        <v/>
      </c>
    </row>
    <row r="34">
      <c r="A34" t="n">
        <v>2024</v>
      </c>
      <c r="B34" t="n">
        <v>99999</v>
      </c>
      <c r="C34" t="inlineStr">
        <is>
          <t>Adjustment 2024</t>
        </is>
      </c>
      <c r="D34" t="inlineStr">
        <is>
          <t>B</t>
        </is>
      </c>
      <c r="E34" t="inlineStr">
        <is>
          <t>Energy</t>
        </is>
      </c>
      <c r="F34" t="inlineStr">
        <is>
          <t>I</t>
        </is>
      </c>
      <c r="G34" t="inlineStr">
        <is>
          <t>NV</t>
        </is>
      </c>
      <c r="H34" t="inlineStr"/>
      <c r="I34" t="inlineStr">
        <is>
          <t>NEVP</t>
        </is>
      </c>
      <c r="J34" t="n">
        <v>0</v>
      </c>
      <c r="K34" t="n">
        <v>0</v>
      </c>
      <c r="L34" t="n">
        <v>0</v>
      </c>
      <c r="M34" t="n">
        <v>-2381.1</v>
      </c>
      <c r="N34" t="n">
        <v>-152936</v>
      </c>
      <c r="O34" t="n">
        <v>171</v>
      </c>
      <c r="P34" t="n">
        <v>92195.8</v>
      </c>
      <c r="Q34" t="n">
        <v>1485046</v>
      </c>
      <c r="R34" t="n">
        <v>4</v>
      </c>
      <c r="S34" t="n">
        <v>0</v>
      </c>
      <c r="T34" t="n">
        <v>0</v>
      </c>
      <c r="U34" t="n">
        <v>0</v>
      </c>
      <c r="V34" t="n">
        <v>89814.7</v>
      </c>
      <c r="W34" t="n">
        <v>1332110</v>
      </c>
      <c r="X34" t="n">
        <v>175</v>
      </c>
      <c r="Y34">
        <f>IF(ISNUMBER($W34),$W34,0)</f>
        <v/>
      </c>
      <c r="Z34">
        <f>IF(ISNUMBER(SEARCH("Adjustment",$C34)),"excluded",IF($H34="Behind the Meter","excluded",IF(NOT(OR($E34="Bundled",$E34="Energy")),"excluded",IF(OR($H34="Retail Power Marketer",$H34="Community Choice Aggregator",$E34="Energy"),"procurement",IF(OR($H34="Municipal",$H34="Cooperative",$H34="Federal",$H34="State",$H34="Political Subdivision"),"cost_service",IF($H34="Investor Owned",IF(AND(COUNTIF(Parameters!$A$4:$A$33,$G34)&gt;0,COUNTIF(Parameters!$B$4:$B$33,$B34)=0),"procurement","cost_service"),"unclassified"))))))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7" t="inlineStr">
        <is>
          <t>region</t>
        </is>
      </c>
      <c r="B1" s="7" t="inlineStr">
        <is>
          <t>cost_service_mwh</t>
        </is>
      </c>
      <c r="C1" s="7" t="inlineStr">
        <is>
          <t>procurement_mwh</t>
        </is>
      </c>
      <c r="D1" s="7" t="inlineStr">
        <is>
          <t>total_mwh</t>
        </is>
      </c>
      <c r="E1" s="7" t="inlineStr">
        <is>
          <t>share_cost_service</t>
        </is>
      </c>
      <c r="F1" s="7" t="inlineStr">
        <is>
          <t>share_procurement</t>
        </is>
      </c>
    </row>
    <row r="2">
      <c r="A2" t="inlineStr">
        <is>
          <t>NV</t>
        </is>
      </c>
      <c r="B2">
        <f>SUMIFS('EIA-861 Sales 2024'!$Y$4:$Y$34,'EIA-861 Sales 2024'!$Z$4:$Z$34,"cost_service")</f>
        <v/>
      </c>
      <c r="C2">
        <f>SUMIFS('EIA-861 Sales 2024'!$Y$4:$Y$34,'EIA-861 Sales 2024'!$Z$4:$Z$34,"procurement")</f>
        <v/>
      </c>
      <c r="D2">
        <f>B2+C2</f>
        <v/>
      </c>
      <c r="E2">
        <f>IF($D2=0,0,B2/$D2)</f>
        <v/>
      </c>
      <c r="F2">
        <f>IF($D2=0,0,C2/$D2)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E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Unit: dimensionless (% of demand)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</row>
    <row r="2">
      <c r="A2" t="inlineStr">
        <is>
          <t>Share that is Cost of Service</t>
        </is>
      </c>
      <c r="B2">
        <f>ROUND('Share'!$E$2,3)</f>
        <v/>
      </c>
      <c r="C2">
        <f>ROUND('Share'!$E$2,3)</f>
        <v/>
      </c>
      <c r="D2">
        <f>ROUND('Share'!$E$2,3)</f>
        <v/>
      </c>
      <c r="E2">
        <f>ROUND('Share'!$E$2,3)</f>
        <v/>
      </c>
      <c r="F2">
        <f>ROUND('Share'!$E$2,3)</f>
        <v/>
      </c>
      <c r="G2">
        <f>ROUND('Share'!$E$2,3)</f>
        <v/>
      </c>
      <c r="H2">
        <f>ROUND('Share'!$E$2,3)</f>
        <v/>
      </c>
      <c r="I2">
        <f>ROUND('Share'!$E$2,3)</f>
        <v/>
      </c>
      <c r="J2">
        <f>ROUND('Share'!$E$2,3)</f>
        <v/>
      </c>
      <c r="K2">
        <f>ROUND('Share'!$E$2,3)</f>
        <v/>
      </c>
      <c r="L2">
        <f>ROUND('Share'!$E$2,3)</f>
        <v/>
      </c>
      <c r="M2">
        <f>ROUND('Share'!$E$2,3)</f>
        <v/>
      </c>
      <c r="N2">
        <f>ROUND('Share'!$E$2,3)</f>
        <v/>
      </c>
      <c r="O2">
        <f>ROUND('Share'!$E$2,3)</f>
        <v/>
      </c>
      <c r="P2">
        <f>ROUND('Share'!$E$2,3)</f>
        <v/>
      </c>
      <c r="Q2">
        <f>ROUND('Share'!$E$2,3)</f>
        <v/>
      </c>
      <c r="R2">
        <f>ROUND('Share'!$E$2,3)</f>
        <v/>
      </c>
      <c r="S2">
        <f>ROUND('Share'!$E$2,3)</f>
        <v/>
      </c>
      <c r="T2">
        <f>ROUND('Share'!$E$2,3)</f>
        <v/>
      </c>
      <c r="U2">
        <f>ROUND('Share'!$E$2,3)</f>
        <v/>
      </c>
      <c r="V2">
        <f>ROUND('Share'!$E$2,3)</f>
        <v/>
      </c>
      <c r="W2">
        <f>ROUND('Share'!$E$2,3)</f>
        <v/>
      </c>
      <c r="X2">
        <f>ROUND('Share'!$E$2,3)</f>
        <v/>
      </c>
      <c r="Y2">
        <f>ROUND('Share'!$E$2,3)</f>
        <v/>
      </c>
      <c r="Z2">
        <f>ROUND('Share'!$E$2,3)</f>
        <v/>
      </c>
      <c r="AA2">
        <f>ROUND('Share'!$E$2,3)</f>
        <v/>
      </c>
      <c r="AB2">
        <f>ROUND('Share'!$E$2,3)</f>
        <v/>
      </c>
      <c r="AC2">
        <f>ROUND('Share'!$E$2,3)</f>
        <v/>
      </c>
      <c r="AD2">
        <f>ROUND('Share'!$E$2,3)</f>
        <v/>
      </c>
      <c r="AE2">
        <f>ROUND('Share'!$E$2,3)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2026-06-02T20:15:31Z</dcterms:created>
  <dcterms:modified xmlns:dcterms="http://purl.org/dc/terms/" xmlns:xsi="http://www.w3.org/2001/XMLSchema-instance" xsi:type="dcterms:W3CDTF">2026-06-02T20:15:31Z</dcterms:modified>
</cp:coreProperties>
</file>