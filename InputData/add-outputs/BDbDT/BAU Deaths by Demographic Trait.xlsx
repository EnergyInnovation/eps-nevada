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5F3670C-F8A4-472D-8857-39358920AC40}"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<sst xmlns="http://schemas.openxmlformats.org/spreadsheetml/2006/main" count="5677" uniqueCount="335">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</sst>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122</v>
      </c>
    </row>
    <row r="2" spans="1:2" x14ac:dyDescent="0.25">
      <c r="A2" s="3" t="s">
        <v>2</v>
      </c>
      <c r="B2" s="4" t="str">
        <f>IFERROR(INDEX(Geography!B:B, MATCH($B$1, Geography!C:C, 0)), "")</f>
        <v>NV</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1644139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1.0149802805892263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1623328</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0.98527176743291034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2311790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0.94150855541675005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360756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0.80819320347495605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336253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1.5937488535638358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258668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1.6720555504639867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999427</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1.567452095021223</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2268040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3267467</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0.8624203251832987</v>
      </c>
    </row>
    <row r="12" spans="1:28" x14ac:dyDescent="0.25">
      <c r="A12" s="4" t="s">
        <v>319</v>
      </c>
    </row>
    <row r="13" spans="1:28" x14ac:dyDescent="0.25">
      <c r="A13" s="4" t="s">
        <v>320</v>
      </c>
      <c r="B13" s="37">
        <f>INDEX(Census_pop_2020_2025!G:G, MATCH("."&amp;About!$B$1, Census_pop_2020_2025!A:A, 0))</f>
        <v>3253543</v>
      </c>
      <c r="C13" s="37">
        <f>INDEX(Census_pop_2020_2025!H:H, MATCH("."&amp;About!$B$1, Census_pop_2020_2025!A:A, 0))</f>
        <v>3282188</v>
      </c>
      <c r="D13" s="37">
        <f>INDEX(Census_pop_2020_2025!H:H, MATCH("."&amp;About!$B$1, Census_pop_2020_2025!A:A, 0))+0.2*(INDEX(Cooper_pop_2030_2050!D:D, MATCH(About!$B$1, Cooper_pop_2030_2050!B:B, 0))-INDEX(Census_pop_2020_2025!H:H, MATCH("."&amp;About!$B$1, Census_pop_2020_2025!A:A, 0)))</f>
        <v>3313328.3387490367</v>
      </c>
      <c r="E13" s="37">
        <f>INDEX(Census_pop_2020_2025!H:H, MATCH("."&amp;About!$B$1, Census_pop_2020_2025!A:A, 0))+0.4*(INDEX(Cooper_pop_2030_2050!D:D, MATCH(About!$B$1, Cooper_pop_2030_2050!B:B, 0))-INDEX(Census_pop_2020_2025!H:H, MATCH("."&amp;About!$B$1, Census_pop_2020_2025!A:A, 0)))</f>
        <v>3344468.6774980738</v>
      </c>
      <c r="F13" s="37">
        <f>INDEX(Census_pop_2020_2025!H:H, MATCH("."&amp;About!$B$1, Census_pop_2020_2025!A:A, 0))+0.6*(INDEX(Cooper_pop_2030_2050!D:D, MATCH(About!$B$1, Cooper_pop_2030_2050!B:B, 0))-INDEX(Census_pop_2020_2025!H:H, MATCH("."&amp;About!$B$1, Census_pop_2020_2025!A:A, 0)))</f>
        <v>3375609.0162471104</v>
      </c>
      <c r="G13" s="37">
        <f>INDEX(Census_pop_2020_2025!H:H, MATCH("."&amp;About!$B$1, Census_pop_2020_2025!A:A, 0))+0.8*(INDEX(Cooper_pop_2030_2050!D:D, MATCH(About!$B$1, Cooper_pop_2030_2050!B:B, 0))-INDEX(Census_pop_2020_2025!H:H, MATCH("."&amp;About!$B$1, Census_pop_2020_2025!A:A, 0)))</f>
        <v>3406749.3549961476</v>
      </c>
      <c r="H13" s="37">
        <f>INDEX(Cooper_pop_2030_2050!D:D, MATCH(About!$B$1, Cooper_pop_2030_2050!B:B, 0))</f>
        <v>3437889.6937451842</v>
      </c>
      <c r="I13" s="37">
        <f>INDEX(Cooper_pop_2030_2050!D:D, MATCH(About!$B$1, Cooper_pop_2030_2050!B:B, 0))+0.1*(INDEX(Cooper_pop_2030_2050!E:E, MATCH(About!$B$1, Cooper_pop_2030_2050!B:B, 0))-INDEX(Cooper_pop_2030_2050!D:D, MATCH(About!$B$1, Cooper_pop_2030_2050!B:B, 0)))</f>
        <v>3474091.7075836835</v>
      </c>
      <c r="J13" s="37">
        <f>INDEX(Cooper_pop_2030_2050!D:D, MATCH(About!$B$1, Cooper_pop_2030_2050!B:B, 0))+0.2*(INDEX(Cooper_pop_2030_2050!E:E, MATCH(About!$B$1, Cooper_pop_2030_2050!B:B, 0))-INDEX(Cooper_pop_2030_2050!D:D, MATCH(About!$B$1, Cooper_pop_2030_2050!B:B, 0)))</f>
        <v>3510293.7214221829</v>
      </c>
      <c r="K13" s="37">
        <f>INDEX(Cooper_pop_2030_2050!D:D, MATCH(About!$B$1, Cooper_pop_2030_2050!B:B, 0))+0.3*(INDEX(Cooper_pop_2030_2050!E:E, MATCH(About!$B$1, Cooper_pop_2030_2050!B:B, 0))-INDEX(Cooper_pop_2030_2050!D:D, MATCH(About!$B$1, Cooper_pop_2030_2050!B:B, 0)))</f>
        <v>3546495.7352606822</v>
      </c>
      <c r="L13" s="37">
        <f>INDEX(Cooper_pop_2030_2050!D:D, MATCH(About!$B$1, Cooper_pop_2030_2050!B:B, 0))+0.4*(INDEX(Cooper_pop_2030_2050!E:E, MATCH(About!$B$1, Cooper_pop_2030_2050!B:B, 0))-INDEX(Cooper_pop_2030_2050!D:D, MATCH(About!$B$1, Cooper_pop_2030_2050!B:B, 0)))</f>
        <v>3582697.7490991815</v>
      </c>
      <c r="M13" s="37">
        <f>INDEX(Cooper_pop_2030_2050!D:D, MATCH(About!$B$1, Cooper_pop_2030_2050!B:B, 0))+0.5*(INDEX(Cooper_pop_2030_2050!E:E, MATCH(About!$B$1, Cooper_pop_2030_2050!B:B, 0))-INDEX(Cooper_pop_2030_2050!D:D, MATCH(About!$B$1, Cooper_pop_2030_2050!B:B, 0)))</f>
        <v>3618899.7629376808</v>
      </c>
      <c r="N13" s="37">
        <f>INDEX(Cooper_pop_2030_2050!D:D, MATCH(About!$B$1, Cooper_pop_2030_2050!B:B, 0))+0.6*(INDEX(Cooper_pop_2030_2050!E:E, MATCH(About!$B$1, Cooper_pop_2030_2050!B:B, 0))-INDEX(Cooper_pop_2030_2050!D:D, MATCH(About!$B$1, Cooper_pop_2030_2050!B:B, 0)))</f>
        <v>3655101.7767761806</v>
      </c>
      <c r="O13" s="37">
        <f>INDEX(Cooper_pop_2030_2050!D:D, MATCH(About!$B$1, Cooper_pop_2030_2050!B:B, 0))+0.7*(INDEX(Cooper_pop_2030_2050!E:E, MATCH(About!$B$1, Cooper_pop_2030_2050!B:B, 0))-INDEX(Cooper_pop_2030_2050!D:D, MATCH(About!$B$1, Cooper_pop_2030_2050!B:B, 0)))</f>
        <v>3691303.7906146799</v>
      </c>
      <c r="P13" s="37">
        <f>INDEX(Cooper_pop_2030_2050!D:D, MATCH(About!$B$1, Cooper_pop_2030_2050!B:B, 0))+0.8*(INDEX(Cooper_pop_2030_2050!E:E, MATCH(About!$B$1, Cooper_pop_2030_2050!B:B, 0))-INDEX(Cooper_pop_2030_2050!D:D, MATCH(About!$B$1, Cooper_pop_2030_2050!B:B, 0)))</f>
        <v>3727505.8044531792</v>
      </c>
      <c r="Q13" s="37">
        <f>INDEX(Cooper_pop_2030_2050!D:D, MATCH(About!$B$1, Cooper_pop_2030_2050!B:B, 0))+0.9*(INDEX(Cooper_pop_2030_2050!E:E, MATCH(About!$B$1, Cooper_pop_2030_2050!B:B, 0))-INDEX(Cooper_pop_2030_2050!D:D, MATCH(About!$B$1, Cooper_pop_2030_2050!B:B, 0)))</f>
        <v>3763707.8182916786</v>
      </c>
      <c r="R13" s="37">
        <f>INDEX(Cooper_pop_2030_2050!E:E, MATCH(About!$B$1, Cooper_pop_2030_2050!B:B, 0))</f>
        <v>3799909.8321301779</v>
      </c>
      <c r="S13" s="37">
        <f>INDEX(Cooper_pop_2030_2050!E:E, MATCH(About!$B$1, Cooper_pop_2030_2050!B:B, 0))+0.1*(INDEX(Cooper_pop_2030_2050!F:F, MATCH(About!$B$1, Cooper_pop_2030_2050!B:B, 0))-INDEX(Cooper_pop_2030_2050!E:E, MATCH(About!$B$1, Cooper_pop_2030_2050!B:B, 0)))</f>
        <v>3835002.4495697431</v>
      </c>
      <c r="T13" s="37">
        <f>INDEX(Cooper_pop_2030_2050!E:E, MATCH(About!$B$1, Cooper_pop_2030_2050!B:B, 0))+0.2*(INDEX(Cooper_pop_2030_2050!F:F, MATCH(About!$B$1, Cooper_pop_2030_2050!B:B, 0))-INDEX(Cooper_pop_2030_2050!E:E, MATCH(About!$B$1, Cooper_pop_2030_2050!B:B, 0)))</f>
        <v>3870095.0670093079</v>
      </c>
      <c r="U13" s="37">
        <f>INDEX(Cooper_pop_2030_2050!E:E, MATCH(About!$B$1, Cooper_pop_2030_2050!B:B, 0))+0.3*(INDEX(Cooper_pop_2030_2050!F:F, MATCH(About!$B$1, Cooper_pop_2030_2050!B:B, 0))-INDEX(Cooper_pop_2030_2050!E:E, MATCH(About!$B$1, Cooper_pop_2030_2050!B:B, 0)))</f>
        <v>3905187.6844488727</v>
      </c>
      <c r="V13" s="37">
        <f>INDEX(Cooper_pop_2030_2050!E:E, MATCH(About!$B$1, Cooper_pop_2030_2050!B:B, 0))+0.4*(INDEX(Cooper_pop_2030_2050!F:F, MATCH(About!$B$1, Cooper_pop_2030_2050!B:B, 0))-INDEX(Cooper_pop_2030_2050!E:E, MATCH(About!$B$1, Cooper_pop_2030_2050!B:B, 0)))</f>
        <v>3940280.3018884379</v>
      </c>
      <c r="W13" s="37">
        <f>INDEX(Cooper_pop_2030_2050!E:E, MATCH(About!$B$1, Cooper_pop_2030_2050!B:B, 0))+0.5*(INDEX(Cooper_pop_2030_2050!F:F, MATCH(About!$B$1, Cooper_pop_2030_2050!B:B, 0))-INDEX(Cooper_pop_2030_2050!E:E, MATCH(About!$B$1, Cooper_pop_2030_2050!B:B, 0)))</f>
        <v>3975372.9193280032</v>
      </c>
      <c r="X13" s="37">
        <f>INDEX(Cooper_pop_2030_2050!E:E, MATCH(About!$B$1, Cooper_pop_2030_2050!B:B, 0))+0.6*(INDEX(Cooper_pop_2030_2050!F:F, MATCH(About!$B$1, Cooper_pop_2030_2050!B:B, 0))-INDEX(Cooper_pop_2030_2050!E:E, MATCH(About!$B$1, Cooper_pop_2030_2050!B:B, 0)))</f>
        <v>4010465.536767568</v>
      </c>
      <c r="Y13" s="37">
        <f>INDEX(Cooper_pop_2030_2050!E:E, MATCH(About!$B$1, Cooper_pop_2030_2050!B:B, 0))+0.7*(INDEX(Cooper_pop_2030_2050!F:F, MATCH(About!$B$1, Cooper_pop_2030_2050!B:B, 0))-INDEX(Cooper_pop_2030_2050!E:E, MATCH(About!$B$1, Cooper_pop_2030_2050!B:B, 0)))</f>
        <v>4045558.1542071328</v>
      </c>
      <c r="Z13" s="37">
        <f>INDEX(Cooper_pop_2030_2050!E:E, MATCH(About!$B$1, Cooper_pop_2030_2050!B:B, 0))+0.8*(INDEX(Cooper_pop_2030_2050!F:F, MATCH(About!$B$1, Cooper_pop_2030_2050!B:B, 0))-INDEX(Cooper_pop_2030_2050!E:E, MATCH(About!$B$1, Cooper_pop_2030_2050!B:B, 0)))</f>
        <v>4080650.771646698</v>
      </c>
      <c r="AA13" s="37">
        <f>INDEX(Cooper_pop_2030_2050!E:E, MATCH(About!$B$1, Cooper_pop_2030_2050!B:B, 0))+0.9*(INDEX(Cooper_pop_2030_2050!F:F, MATCH(About!$B$1, Cooper_pop_2030_2050!B:B, 0))-INDEX(Cooper_pop_2030_2050!E:E, MATCH(About!$B$1, Cooper_pop_2030_2050!B:B, 0)))</f>
        <v>4115743.3890862633</v>
      </c>
      <c r="AB13" s="37">
        <f>INDEX(Cooper_pop_2030_2050!F:F, MATCH(About!$B$1, Cooper_pop_2030_2050!B:B, 0))</f>
        <v>4150836.006525828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9.6692880319292282E-3</v>
      </c>
      <c r="C15" s="39">
        <f t="shared" si="1"/>
        <v>9.7101482920086395E-3</v>
      </c>
      <c r="D15" s="39">
        <f t="shared" si="1"/>
        <v>9.7590604765982903E-3</v>
      </c>
      <c r="E15" s="39">
        <f t="shared" si="1"/>
        <v>9.8086746998135403E-3</v>
      </c>
      <c r="F15" s="39">
        <f t="shared" si="1"/>
        <v>9.8591095253253921E-3</v>
      </c>
      <c r="G15" s="39">
        <f t="shared" si="1"/>
        <v>9.9104342822975509E-3</v>
      </c>
      <c r="H15" s="39">
        <f t="shared" si="1"/>
        <v>9.9627732821121317E-3</v>
      </c>
      <c r="I15" s="39">
        <f t="shared" si="1"/>
        <v>1.0030891870185656E-2</v>
      </c>
      <c r="J15" s="39">
        <f t="shared" si="1"/>
        <v>1.0100253871001752E-2</v>
      </c>
      <c r="K15" s="39">
        <f t="shared" si="1"/>
        <v>1.0170568701434457E-2</v>
      </c>
      <c r="L15" s="39">
        <f t="shared" si="1"/>
        <v>1.0241908030956171E-2</v>
      </c>
      <c r="M15" s="39">
        <f t="shared" si="1"/>
        <v>1.0314337861812229E-2</v>
      </c>
      <c r="N15" s="39">
        <f t="shared" si="1"/>
        <v>1.0387915564667446E-2</v>
      </c>
      <c r="O15" s="39">
        <f t="shared" si="1"/>
        <v>1.0462699894184864E-2</v>
      </c>
      <c r="P15" s="39">
        <f t="shared" si="1"/>
        <v>1.0538737333986107E-2</v>
      </c>
      <c r="Q15" s="39">
        <f t="shared" si="1"/>
        <v>1.0616053306776618E-2</v>
      </c>
      <c r="R15" s="39">
        <f t="shared" si="1"/>
        <v>1.0694660616706077E-2</v>
      </c>
      <c r="S15" s="39">
        <f t="shared" si="1"/>
        <v>1.077146388302448E-2</v>
      </c>
      <c r="T15" s="39">
        <f t="shared" si="1"/>
        <v>1.0849554526718406E-2</v>
      </c>
      <c r="U15" s="39">
        <f t="shared" si="1"/>
        <v>1.0928878071172181E-2</v>
      </c>
      <c r="V15" s="39">
        <f t="shared" si="1"/>
        <v>1.1009340419634125E-2</v>
      </c>
      <c r="W15" s="39">
        <f t="shared" si="1"/>
        <v>1.1090825243920245E-2</v>
      </c>
      <c r="X15" s="39">
        <f t="shared" si="1"/>
        <v>1.1173207004887786E-2</v>
      </c>
      <c r="Y15" s="39">
        <f t="shared" si="1"/>
        <v>1.1256412064199254E-2</v>
      </c>
      <c r="Z15" s="39">
        <f t="shared" si="1"/>
        <v>1.1340314641395713E-2</v>
      </c>
      <c r="AA15" s="39">
        <f t="shared" si="1"/>
        <v>1.1424781918894057E-2</v>
      </c>
      <c r="AB15" s="39">
        <f t="shared" si="1"/>
        <v>1.1509678842555575E-2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92.360840293085616</v>
      </c>
      <c r="C48" s="37">
        <f t="shared" si="10"/>
        <v>92.051388414788534</v>
      </c>
      <c r="D48" s="37">
        <f t="shared" si="10"/>
        <v>91.801893523565738</v>
      </c>
      <c r="E48" s="37">
        <f t="shared" si="10"/>
        <v>91.551802425435667</v>
      </c>
      <c r="F48" s="37">
        <f t="shared" si="10"/>
        <v>91.282045585161825</v>
      </c>
      <c r="G48" s="37">
        <f t="shared" si="10"/>
        <v>90.992767504423057</v>
      </c>
      <c r="H48" s="37">
        <f t="shared" si="10"/>
        <v>90.684581202442757</v>
      </c>
      <c r="I48" s="37">
        <f t="shared" si="10"/>
        <v>90.541033158040193</v>
      </c>
      <c r="J48" s="37">
        <f t="shared" si="10"/>
        <v>90.326482014091766</v>
      </c>
      <c r="K48" s="37">
        <f t="shared" si="10"/>
        <v>90.119149866935373</v>
      </c>
      <c r="L48" s="37">
        <f t="shared" si="10"/>
        <v>89.846877699991168</v>
      </c>
      <c r="M48" s="37">
        <f t="shared" si="10"/>
        <v>89.58194548874441</v>
      </c>
      <c r="N48" s="37">
        <f t="shared" si="10"/>
        <v>89.335325068515303</v>
      </c>
      <c r="O48" s="37">
        <f t="shared" si="10"/>
        <v>88.95899924058385</v>
      </c>
      <c r="P48" s="37">
        <f t="shared" si="10"/>
        <v>88.610722014113719</v>
      </c>
      <c r="Q48" s="37">
        <f t="shared" si="10"/>
        <v>88.19406879385005</v>
      </c>
      <c r="R48" s="37">
        <f t="shared" si="10"/>
        <v>87.76162098725888</v>
      </c>
      <c r="S48" s="37">
        <f t="shared" si="10"/>
        <v>87.265796652972952</v>
      </c>
      <c r="T48" s="37">
        <f t="shared" si="10"/>
        <v>86.764209030740645</v>
      </c>
      <c r="U48" s="37">
        <f t="shared" si="10"/>
        <v>86.256024405840606</v>
      </c>
      <c r="V48" s="37">
        <f t="shared" si="10"/>
        <v>85.740123284751661</v>
      </c>
      <c r="W48" s="37">
        <f t="shared" si="10"/>
        <v>85.226511678482694</v>
      </c>
      <c r="X48" s="37">
        <f t="shared" si="10"/>
        <v>84.793552406808089</v>
      </c>
      <c r="Y48" s="37">
        <f t="shared" si="10"/>
        <v>84.351042820901</v>
      </c>
      <c r="Z48" s="37">
        <f t="shared" si="10"/>
        <v>83.955367703445546</v>
      </c>
      <c r="AA48" s="37">
        <f t="shared" si="10"/>
        <v>83.560259745656893</v>
      </c>
      <c r="AB48" s="37">
        <f t="shared" si="10"/>
        <v>83.15316688097343</v>
      </c>
    </row>
    <row r="49" spans="1:28" x14ac:dyDescent="0.25">
      <c r="A49" s="4" t="s">
        <v>216</v>
      </c>
      <c r="B49" s="37">
        <f t="shared" ref="B49:AB49" si="11">B29*B15*$F$5</f>
        <v>71.489681323812121</v>
      </c>
      <c r="C49" s="37">
        <f t="shared" si="11"/>
        <v>71.399528278893555</v>
      </c>
      <c r="D49" s="37">
        <f t="shared" si="11"/>
        <v>71.364955244357446</v>
      </c>
      <c r="E49" s="37">
        <f t="shared" si="11"/>
        <v>71.321871701529005</v>
      </c>
      <c r="F49" s="37">
        <f t="shared" si="11"/>
        <v>71.261187033147479</v>
      </c>
      <c r="G49" s="37">
        <f t="shared" si="11"/>
        <v>71.202523271022429</v>
      </c>
      <c r="H49" s="37">
        <f t="shared" si="11"/>
        <v>71.136836373729381</v>
      </c>
      <c r="I49" s="37">
        <f t="shared" si="11"/>
        <v>71.129063381751266</v>
      </c>
      <c r="J49" s="37">
        <f t="shared" si="11"/>
        <v>71.153189128471382</v>
      </c>
      <c r="K49" s="37">
        <f t="shared" si="11"/>
        <v>71.117434499246414</v>
      </c>
      <c r="L49" s="37">
        <f t="shared" si="11"/>
        <v>71.101628682885618</v>
      </c>
      <c r="M49" s="37">
        <f t="shared" si="11"/>
        <v>71.025194580210353</v>
      </c>
      <c r="N49" s="37">
        <f t="shared" si="11"/>
        <v>70.897290343637039</v>
      </c>
      <c r="O49" s="37">
        <f t="shared" si="11"/>
        <v>70.820101351853253</v>
      </c>
      <c r="P49" s="37">
        <f t="shared" si="11"/>
        <v>70.639089006138988</v>
      </c>
      <c r="Q49" s="37">
        <f t="shared" si="11"/>
        <v>70.477442460669337</v>
      </c>
      <c r="R49" s="37">
        <f t="shared" si="11"/>
        <v>70.261697315671455</v>
      </c>
      <c r="S49" s="37">
        <f t="shared" si="11"/>
        <v>70.02338146340837</v>
      </c>
      <c r="T49" s="37">
        <f t="shared" si="11"/>
        <v>69.761372222471635</v>
      </c>
      <c r="U49" s="37">
        <f t="shared" si="11"/>
        <v>69.496123495467671</v>
      </c>
      <c r="V49" s="37">
        <f t="shared" si="11"/>
        <v>69.248475601853983</v>
      </c>
      <c r="W49" s="37">
        <f t="shared" si="11"/>
        <v>69.007017194166593</v>
      </c>
      <c r="X49" s="37">
        <f t="shared" si="11"/>
        <v>68.748990607929272</v>
      </c>
      <c r="Y49" s="37">
        <f t="shared" si="11"/>
        <v>68.528971933371366</v>
      </c>
      <c r="Z49" s="37">
        <f t="shared" si="11"/>
        <v>68.291159787036605</v>
      </c>
      <c r="AA49" s="37">
        <f t="shared" si="11"/>
        <v>68.079403166126511</v>
      </c>
      <c r="AB49" s="37">
        <f t="shared" si="11"/>
        <v>67.92756807858153</v>
      </c>
    </row>
    <row r="50" spans="1:28" x14ac:dyDescent="0.25">
      <c r="A50" s="4" t="s">
        <v>217</v>
      </c>
      <c r="B50" s="37">
        <f t="shared" ref="B50:AB50" si="12">B30*B15*$F$6</f>
        <v>89.744446196728859</v>
      </c>
      <c r="C50" s="37">
        <f t="shared" si="12"/>
        <v>89.52944406081744</v>
      </c>
      <c r="D50" s="37">
        <f t="shared" si="12"/>
        <v>89.392376565018395</v>
      </c>
      <c r="E50" s="37">
        <f t="shared" si="12"/>
        <v>89.237332935144977</v>
      </c>
      <c r="F50" s="37">
        <f t="shared" si="12"/>
        <v>89.074255538224918</v>
      </c>
      <c r="G50" s="37">
        <f t="shared" si="12"/>
        <v>88.91279931572241</v>
      </c>
      <c r="H50" s="37">
        <f t="shared" si="12"/>
        <v>88.716383143673852</v>
      </c>
      <c r="I50" s="37">
        <f t="shared" si="12"/>
        <v>88.661872787686235</v>
      </c>
      <c r="J50" s="37">
        <f t="shared" si="12"/>
        <v>88.561744692901044</v>
      </c>
      <c r="K50" s="37">
        <f t="shared" si="12"/>
        <v>88.421805535019232</v>
      </c>
      <c r="L50" s="37">
        <f t="shared" si="12"/>
        <v>88.232022919671309</v>
      </c>
      <c r="M50" s="37">
        <f t="shared" si="12"/>
        <v>87.991709340957755</v>
      </c>
      <c r="N50" s="37">
        <f t="shared" si="12"/>
        <v>87.700052118287303</v>
      </c>
      <c r="O50" s="37">
        <f t="shared" si="12"/>
        <v>87.326645770673835</v>
      </c>
      <c r="P50" s="37">
        <f t="shared" si="12"/>
        <v>86.909525230600167</v>
      </c>
      <c r="Q50" s="37">
        <f t="shared" si="12"/>
        <v>86.43766815320636</v>
      </c>
      <c r="R50" s="37">
        <f t="shared" si="12"/>
        <v>85.909684640185489</v>
      </c>
      <c r="S50" s="37">
        <f t="shared" si="12"/>
        <v>85.319811892135633</v>
      </c>
      <c r="T50" s="37">
        <f t="shared" si="12"/>
        <v>84.722782107280835</v>
      </c>
      <c r="U50" s="37">
        <f t="shared" si="12"/>
        <v>84.117743276816086</v>
      </c>
      <c r="V50" s="37">
        <f t="shared" si="12"/>
        <v>83.513932683738815</v>
      </c>
      <c r="W50" s="37">
        <f t="shared" si="12"/>
        <v>82.931212632744391</v>
      </c>
      <c r="X50" s="37">
        <f t="shared" si="12"/>
        <v>82.37953566462771</v>
      </c>
      <c r="Y50" s="37">
        <f t="shared" si="12"/>
        <v>81.837819797155632</v>
      </c>
      <c r="Z50" s="37">
        <f t="shared" si="12"/>
        <v>81.316056797634303</v>
      </c>
      <c r="AA50" s="37">
        <f t="shared" si="12"/>
        <v>80.835322351876258</v>
      </c>
      <c r="AB50" s="37">
        <f t="shared" si="12"/>
        <v>80.374031981408919</v>
      </c>
    </row>
    <row r="51" spans="1:28" x14ac:dyDescent="0.25">
      <c r="A51" s="4" t="s">
        <v>218</v>
      </c>
      <c r="B51" s="37">
        <f t="shared" ref="B51:AB51" si="13">B31*B15*$F$7</f>
        <v>36.556946125143966</v>
      </c>
      <c r="C51" s="37">
        <f t="shared" si="13"/>
        <v>36.217024067757571</v>
      </c>
      <c r="D51" s="37">
        <f t="shared" si="13"/>
        <v>35.910450509217966</v>
      </c>
      <c r="E51" s="37">
        <f t="shared" si="13"/>
        <v>35.585668677184913</v>
      </c>
      <c r="F51" s="37">
        <f t="shared" si="13"/>
        <v>35.242752869151715</v>
      </c>
      <c r="G51" s="37">
        <f t="shared" si="13"/>
        <v>34.897590311818739</v>
      </c>
      <c r="H51" s="37">
        <f t="shared" si="13"/>
        <v>34.526314165916716</v>
      </c>
      <c r="I51" s="37">
        <f t="shared" si="13"/>
        <v>34.211112236645725</v>
      </c>
      <c r="J51" s="37">
        <f t="shared" si="13"/>
        <v>33.892595520512039</v>
      </c>
      <c r="K51" s="37">
        <f t="shared" si="13"/>
        <v>33.569599897895607</v>
      </c>
      <c r="L51" s="37">
        <f t="shared" si="13"/>
        <v>33.258755773239606</v>
      </c>
      <c r="M51" s="37">
        <f t="shared" si="13"/>
        <v>32.968792033922469</v>
      </c>
      <c r="N51" s="37">
        <f t="shared" si="13"/>
        <v>32.675063212719081</v>
      </c>
      <c r="O51" s="37">
        <f t="shared" si="13"/>
        <v>32.402943443241035</v>
      </c>
      <c r="P51" s="37">
        <f t="shared" si="13"/>
        <v>32.12739096401134</v>
      </c>
      <c r="Q51" s="37">
        <f t="shared" si="13"/>
        <v>31.865459391803078</v>
      </c>
      <c r="R51" s="37">
        <f t="shared" si="13"/>
        <v>31.608738351377188</v>
      </c>
      <c r="S51" s="37">
        <f t="shared" si="13"/>
        <v>31.339526046250839</v>
      </c>
      <c r="T51" s="37">
        <f t="shared" si="13"/>
        <v>31.075692396372549</v>
      </c>
      <c r="U51" s="37">
        <f t="shared" si="13"/>
        <v>30.808265685802716</v>
      </c>
      <c r="V51" s="37">
        <f t="shared" si="13"/>
        <v>30.554612865891706</v>
      </c>
      <c r="W51" s="37">
        <f t="shared" si="13"/>
        <v>30.287766461176005</v>
      </c>
      <c r="X51" s="37">
        <f t="shared" si="13"/>
        <v>30.034145734839555</v>
      </c>
      <c r="Y51" s="37">
        <f t="shared" si="13"/>
        <v>29.80293735771863</v>
      </c>
      <c r="Z51" s="37">
        <f t="shared" si="13"/>
        <v>29.566822994698889</v>
      </c>
      <c r="AA51" s="37">
        <f t="shared" si="13"/>
        <v>29.343844029551235</v>
      </c>
      <c r="AB51" s="37">
        <f t="shared" si="13"/>
        <v>29.115398392114024</v>
      </c>
    </row>
    <row r="52" spans="1:28" x14ac:dyDescent="0.25">
      <c r="A52" s="4" t="s">
        <v>219</v>
      </c>
      <c r="B52" s="37">
        <f t="shared" ref="B52:AB52" si="14">B32*B15*$F$8</f>
        <v>13.268368792188189</v>
      </c>
      <c r="C52" s="37">
        <f t="shared" si="14"/>
        <v>13.370864579991597</v>
      </c>
      <c r="D52" s="37">
        <f t="shared" si="14"/>
        <v>13.484877084062322</v>
      </c>
      <c r="E52" s="37">
        <f t="shared" si="14"/>
        <v>13.615963294351141</v>
      </c>
      <c r="F52" s="37">
        <f t="shared" si="14"/>
        <v>13.748826440254183</v>
      </c>
      <c r="G52" s="37">
        <f t="shared" si="14"/>
        <v>13.883579339367952</v>
      </c>
      <c r="H52" s="37">
        <f t="shared" si="14"/>
        <v>14.020413952570758</v>
      </c>
      <c r="I52" s="37">
        <f t="shared" si="14"/>
        <v>14.180222785059765</v>
      </c>
      <c r="J52" s="37">
        <f t="shared" si="14"/>
        <v>14.342665812602947</v>
      </c>
      <c r="K52" s="37">
        <f t="shared" si="14"/>
        <v>14.539770990579047</v>
      </c>
      <c r="L52" s="37">
        <f t="shared" si="14"/>
        <v>14.707049293561019</v>
      </c>
      <c r="M52" s="37">
        <f t="shared" si="14"/>
        <v>14.876810048992642</v>
      </c>
      <c r="N52" s="37">
        <f t="shared" si="14"/>
        <v>15.049157226594961</v>
      </c>
      <c r="O52" s="37">
        <f t="shared" si="14"/>
        <v>15.22419827288565</v>
      </c>
      <c r="P52" s="37">
        <f t="shared" si="14"/>
        <v>15.385228098350492</v>
      </c>
      <c r="Q52" s="37">
        <f t="shared" si="14"/>
        <v>15.56577696408398</v>
      </c>
      <c r="R52" s="37">
        <f t="shared" si="14"/>
        <v>15.715124055553506</v>
      </c>
      <c r="S52" s="37">
        <f t="shared" si="14"/>
        <v>15.879482598666437</v>
      </c>
      <c r="T52" s="37">
        <f t="shared" si="14"/>
        <v>16.063771067342643</v>
      </c>
      <c r="U52" s="37">
        <f t="shared" si="14"/>
        <v>16.216052700799402</v>
      </c>
      <c r="V52" s="37">
        <f t="shared" si="14"/>
        <v>16.388079509915016</v>
      </c>
      <c r="W52" s="37">
        <f t="shared" si="14"/>
        <v>16.562402646467532</v>
      </c>
      <c r="X52" s="37">
        <f t="shared" si="14"/>
        <v>16.721041417536377</v>
      </c>
      <c r="Y52" s="37">
        <f t="shared" si="14"/>
        <v>16.91731987467379</v>
      </c>
      <c r="Z52" s="37">
        <f t="shared" si="14"/>
        <v>17.079564718544834</v>
      </c>
      <c r="AA52" s="37">
        <f t="shared" si="14"/>
        <v>17.243196731925167</v>
      </c>
      <c r="AB52" s="37">
        <f t="shared" si="14"/>
        <v>17.408017049740128</v>
      </c>
    </row>
    <row r="53" spans="1:28" x14ac:dyDescent="0.25">
      <c r="A53" s="4" t="s">
        <v>220</v>
      </c>
      <c r="B53" s="37">
        <f t="shared" ref="B53:AB53" si="15">B33*B15*$F$9</f>
        <v>24.542396645244196</v>
      </c>
      <c r="C53" s="37">
        <f t="shared" si="15"/>
        <v>24.857174148994094</v>
      </c>
      <c r="D53" s="37">
        <f t="shared" si="15"/>
        <v>25.145562196540439</v>
      </c>
      <c r="E53" s="37">
        <f t="shared" si="15"/>
        <v>25.470207857427866</v>
      </c>
      <c r="F53" s="37">
        <f t="shared" si="15"/>
        <v>25.782506850163994</v>
      </c>
      <c r="G53" s="37">
        <f t="shared" si="15"/>
        <v>26.065863129229662</v>
      </c>
      <c r="H53" s="37">
        <f t="shared" si="15"/>
        <v>26.420080237890659</v>
      </c>
      <c r="I53" s="37">
        <f t="shared" si="15"/>
        <v>26.75167244209857</v>
      </c>
      <c r="J53" s="37">
        <f t="shared" si="15"/>
        <v>27.10553780149667</v>
      </c>
      <c r="K53" s="37">
        <f t="shared" si="15"/>
        <v>27.413278427957362</v>
      </c>
      <c r="L53" s="37">
        <f t="shared" si="15"/>
        <v>27.742563456213155</v>
      </c>
      <c r="M53" s="37">
        <f t="shared" si="15"/>
        <v>28.024987040706478</v>
      </c>
      <c r="N53" s="37">
        <f t="shared" si="15"/>
        <v>28.346488504330413</v>
      </c>
      <c r="O53" s="37">
        <f t="shared" si="15"/>
        <v>28.638030660400926</v>
      </c>
      <c r="P53" s="37">
        <f t="shared" si="15"/>
        <v>28.899020976844554</v>
      </c>
      <c r="Q53" s="37">
        <f t="shared" si="15"/>
        <v>29.128785234068161</v>
      </c>
      <c r="R53" s="37">
        <f t="shared" si="15"/>
        <v>29.362353430255865</v>
      </c>
      <c r="S53" s="37">
        <f t="shared" si="15"/>
        <v>29.573217966407324</v>
      </c>
      <c r="T53" s="37">
        <f t="shared" si="15"/>
        <v>29.715052785263417</v>
      </c>
      <c r="U53" s="37">
        <f t="shared" si="15"/>
        <v>29.895758867409061</v>
      </c>
      <c r="V53" s="37">
        <f t="shared" si="15"/>
        <v>30.042229329133903</v>
      </c>
      <c r="W53" s="37">
        <f t="shared" si="15"/>
        <v>30.190406778749754</v>
      </c>
      <c r="X53" s="37">
        <f t="shared" si="15"/>
        <v>30.377294254923299</v>
      </c>
      <c r="Y53" s="37">
        <f t="shared" si="15"/>
        <v>30.509402304081966</v>
      </c>
      <c r="Z53" s="37">
        <f t="shared" si="15"/>
        <v>30.698888749008866</v>
      </c>
      <c r="AA53" s="37">
        <f t="shared" si="15"/>
        <v>30.832032212808432</v>
      </c>
      <c r="AB53" s="37">
        <f t="shared" si="15"/>
        <v>31.022653697117775</v>
      </c>
    </row>
    <row r="54" spans="1:28" x14ac:dyDescent="0.25">
      <c r="A54" s="4" t="s">
        <v>221</v>
      </c>
      <c r="B54" s="37">
        <f t="shared" ref="B54:AB54" si="16">B34*B15*$F$10</f>
        <v>58.214755952545659</v>
      </c>
      <c r="C54" s="37">
        <f t="shared" si="16"/>
        <v>58.704281636594338</v>
      </c>
      <c r="D54" s="37">
        <f t="shared" si="16"/>
        <v>59.275331684245863</v>
      </c>
      <c r="E54" s="37">
        <f t="shared" si="16"/>
        <v>59.868800293411532</v>
      </c>
      <c r="F54" s="37">
        <f t="shared" si="16"/>
        <v>60.516618244096669</v>
      </c>
      <c r="G54" s="37">
        <f t="shared" si="16"/>
        <v>61.111271268858196</v>
      </c>
      <c r="H54" s="37">
        <f t="shared" si="16"/>
        <v>61.699487090262373</v>
      </c>
      <c r="I54" s="37">
        <f t="shared" si="16"/>
        <v>62.372912805679263</v>
      </c>
      <c r="J54" s="37">
        <f t="shared" si="16"/>
        <v>63.02585474367504</v>
      </c>
      <c r="K54" s="37">
        <f t="shared" si="16"/>
        <v>63.655923719952533</v>
      </c>
      <c r="L54" s="37">
        <f t="shared" si="16"/>
        <v>64.246908200948027</v>
      </c>
      <c r="M54" s="37">
        <f t="shared" si="16"/>
        <v>64.798259804939235</v>
      </c>
      <c r="N54" s="37">
        <f t="shared" si="16"/>
        <v>65.309348219128381</v>
      </c>
      <c r="O54" s="37">
        <f t="shared" si="16"/>
        <v>65.779521064429474</v>
      </c>
      <c r="P54" s="37">
        <f t="shared" si="16"/>
        <v>66.158458481704784</v>
      </c>
      <c r="Q54" s="37">
        <f t="shared" si="16"/>
        <v>66.49405936626971</v>
      </c>
      <c r="R54" s="37">
        <f t="shared" si="16"/>
        <v>66.734968761192889</v>
      </c>
      <c r="S54" s="37">
        <f t="shared" si="16"/>
        <v>66.9609668961523</v>
      </c>
      <c r="T54" s="37">
        <f t="shared" si="16"/>
        <v>67.123301572240592</v>
      </c>
      <c r="U54" s="37">
        <f t="shared" si="16"/>
        <v>67.220053860565685</v>
      </c>
      <c r="V54" s="37">
        <f t="shared" si="16"/>
        <v>67.318050065379182</v>
      </c>
      <c r="W54" s="37">
        <f t="shared" si="16"/>
        <v>67.329538223847891</v>
      </c>
      <c r="X54" s="37">
        <f t="shared" si="16"/>
        <v>67.426846902481074</v>
      </c>
      <c r="Y54" s="37">
        <f t="shared" si="16"/>
        <v>67.505510408798642</v>
      </c>
      <c r="Z54" s="37">
        <f t="shared" si="16"/>
        <v>67.582070582736847</v>
      </c>
      <c r="AA54" s="37">
        <f t="shared" si="16"/>
        <v>67.673569979505544</v>
      </c>
      <c r="AB54" s="37">
        <f t="shared" si="16"/>
        <v>67.797590267162704</v>
      </c>
    </row>
    <row r="55" spans="1:28" x14ac:dyDescent="0.25">
      <c r="A55" s="4" t="s">
        <v>222</v>
      </c>
      <c r="B55" s="37">
        <f t="shared" ref="B55:AB55" si="17">B35*B15*$F$11</f>
        <v>109.02396217336624</v>
      </c>
      <c r="C55" s="37">
        <f t="shared" si="17"/>
        <v>108.41277183906897</v>
      </c>
      <c r="D55" s="37">
        <f t="shared" si="17"/>
        <v>107.85632118595129</v>
      </c>
      <c r="E55" s="37">
        <f t="shared" si="17"/>
        <v>107.27957978008978</v>
      </c>
      <c r="F55" s="37">
        <f t="shared" si="17"/>
        <v>106.64081878621069</v>
      </c>
      <c r="G55" s="37">
        <f t="shared" si="17"/>
        <v>106.01649129976568</v>
      </c>
      <c r="H55" s="37">
        <f t="shared" si="17"/>
        <v>105.37349200209276</v>
      </c>
      <c r="I55" s="37">
        <f t="shared" si="17"/>
        <v>104.87419428128163</v>
      </c>
      <c r="J55" s="37">
        <f t="shared" si="17"/>
        <v>104.35375744980117</v>
      </c>
      <c r="K55" s="37">
        <f t="shared" si="17"/>
        <v>103.79962534379504</v>
      </c>
      <c r="L55" s="37">
        <f t="shared" si="17"/>
        <v>103.22928017278031</v>
      </c>
      <c r="M55" s="37">
        <f t="shared" si="17"/>
        <v>102.6339092428846</v>
      </c>
      <c r="N55" s="37">
        <f t="shared" si="17"/>
        <v>102.03119827481966</v>
      </c>
      <c r="O55" s="37">
        <f t="shared" si="17"/>
        <v>101.38518132604894</v>
      </c>
      <c r="P55" s="37">
        <f t="shared" si="17"/>
        <v>100.72231740941936</v>
      </c>
      <c r="Q55" s="37">
        <f t="shared" si="17"/>
        <v>100.04215008434424</v>
      </c>
      <c r="R55" s="37">
        <f t="shared" si="17"/>
        <v>99.353308822044497</v>
      </c>
      <c r="S55" s="37">
        <f t="shared" si="17"/>
        <v>98.599064889185954</v>
      </c>
      <c r="T55" s="37">
        <f t="shared" si="17"/>
        <v>97.854212795370273</v>
      </c>
      <c r="U55" s="37">
        <f t="shared" si="17"/>
        <v>97.137003493778195</v>
      </c>
      <c r="V55" s="37">
        <f t="shared" si="17"/>
        <v>96.427959362926671</v>
      </c>
      <c r="W55" s="37">
        <f t="shared" si="17"/>
        <v>95.77387552460273</v>
      </c>
      <c r="X55" s="37">
        <f t="shared" si="17"/>
        <v>95.126600080188908</v>
      </c>
      <c r="Y55" s="37">
        <f t="shared" si="17"/>
        <v>94.514737270099033</v>
      </c>
      <c r="Z55" s="37">
        <f t="shared" si="17"/>
        <v>93.928251742211629</v>
      </c>
      <c r="AA55" s="37">
        <f t="shared" si="17"/>
        <v>93.356835204147373</v>
      </c>
      <c r="AB55" s="37">
        <f t="shared" si="17"/>
        <v>92.809792070922242</v>
      </c>
    </row>
    <row r="57" spans="1:28" x14ac:dyDescent="0.25">
      <c r="A57" s="4" t="s">
        <v>327</v>
      </c>
    </row>
    <row r="58" spans="1:28" x14ac:dyDescent="0.25">
      <c r="A58" s="4" t="s">
        <v>215</v>
      </c>
      <c r="B58" s="37">
        <f t="shared" ref="B58:AB58" si="18">B38*B15*$F$4</f>
        <v>14646.009104378152</v>
      </c>
      <c r="C58" s="37">
        <f t="shared" si="18"/>
        <v>14975.804901009411</v>
      </c>
      <c r="D58" s="37">
        <f t="shared" si="18"/>
        <v>15318.267209153046</v>
      </c>
      <c r="E58" s="37">
        <f t="shared" si="18"/>
        <v>15663.432215594108</v>
      </c>
      <c r="F58" s="37">
        <f t="shared" si="18"/>
        <v>16012.644000907907</v>
      </c>
      <c r="G58" s="37">
        <f t="shared" si="18"/>
        <v>16366.396121760341</v>
      </c>
      <c r="H58" s="37">
        <f t="shared" si="18"/>
        <v>16723.589761795218</v>
      </c>
      <c r="I58" s="37">
        <f t="shared" si="18"/>
        <v>17108.192985049056</v>
      </c>
      <c r="J58" s="37">
        <f t="shared" si="18"/>
        <v>17493.48497235847</v>
      </c>
      <c r="K58" s="37">
        <f t="shared" si="18"/>
        <v>17879.092218486236</v>
      </c>
      <c r="L58" s="37">
        <f t="shared" si="18"/>
        <v>18263.417976955534</v>
      </c>
      <c r="M58" s="37">
        <f t="shared" si="18"/>
        <v>18646.046972783883</v>
      </c>
      <c r="N58" s="37">
        <f t="shared" si="18"/>
        <v>19024.944874873756</v>
      </c>
      <c r="O58" s="37">
        <f t="shared" si="18"/>
        <v>19399.231725644458</v>
      </c>
      <c r="P58" s="37">
        <f t="shared" si="18"/>
        <v>19766.223897512395</v>
      </c>
      <c r="Q58" s="37">
        <f t="shared" si="18"/>
        <v>20125.283094009792</v>
      </c>
      <c r="R58" s="37">
        <f t="shared" si="18"/>
        <v>20473.087389229844</v>
      </c>
      <c r="S58" s="37">
        <f t="shared" si="18"/>
        <v>20803.523072050812</v>
      </c>
      <c r="T58" s="37">
        <f t="shared" si="18"/>
        <v>21121.077807219102</v>
      </c>
      <c r="U58" s="37">
        <f t="shared" si="18"/>
        <v>21426.513377371881</v>
      </c>
      <c r="V58" s="37">
        <f t="shared" si="18"/>
        <v>21714.275664259199</v>
      </c>
      <c r="W58" s="37">
        <f t="shared" si="18"/>
        <v>21985.152978124468</v>
      </c>
      <c r="X58" s="37">
        <f t="shared" si="18"/>
        <v>22237.446501082653</v>
      </c>
      <c r="Y58" s="37">
        <f t="shared" si="18"/>
        <v>22479.889950340243</v>
      </c>
      <c r="Z58" s="37">
        <f t="shared" si="18"/>
        <v>22703.907131411728</v>
      </c>
      <c r="AA58" s="37">
        <f t="shared" si="18"/>
        <v>22910.400342321285</v>
      </c>
      <c r="AB58" s="37">
        <f t="shared" si="18"/>
        <v>23100.984793334032</v>
      </c>
    </row>
    <row r="59" spans="1:28" x14ac:dyDescent="0.25">
      <c r="A59" s="4" t="s">
        <v>216</v>
      </c>
      <c r="B59" s="37">
        <f t="shared" ref="B59:AB59" si="19">B39*B15*$F$5</f>
        <v>13359.710412399463</v>
      </c>
      <c r="C59" s="37">
        <f t="shared" si="19"/>
        <v>13625.159639857144</v>
      </c>
      <c r="D59" s="37">
        <f t="shared" si="19"/>
        <v>13902.800968447378</v>
      </c>
      <c r="E59" s="37">
        <f t="shared" si="19"/>
        <v>14189.737644485896</v>
      </c>
      <c r="F59" s="37">
        <f t="shared" si="19"/>
        <v>14490.130873156457</v>
      </c>
      <c r="G59" s="37">
        <f t="shared" si="19"/>
        <v>14804.949670688951</v>
      </c>
      <c r="H59" s="37">
        <f t="shared" si="19"/>
        <v>15135.782810190944</v>
      </c>
      <c r="I59" s="37">
        <f t="shared" si="19"/>
        <v>15504.040588454664</v>
      </c>
      <c r="J59" s="37">
        <f t="shared" si="19"/>
        <v>15887.283098504751</v>
      </c>
      <c r="K59" s="37">
        <f t="shared" si="19"/>
        <v>16281.683775163317</v>
      </c>
      <c r="L59" s="37">
        <f t="shared" si="19"/>
        <v>16687.075953707797</v>
      </c>
      <c r="M59" s="37">
        <f t="shared" si="19"/>
        <v>17102.600599356203</v>
      </c>
      <c r="N59" s="37">
        <f t="shared" si="19"/>
        <v>17524.721177466701</v>
      </c>
      <c r="O59" s="37">
        <f t="shared" si="19"/>
        <v>17949.968049494808</v>
      </c>
      <c r="P59" s="37">
        <f t="shared" si="19"/>
        <v>18377.533096389867</v>
      </c>
      <c r="Q59" s="37">
        <f t="shared" si="19"/>
        <v>18802.279196379041</v>
      </c>
      <c r="R59" s="37">
        <f t="shared" si="19"/>
        <v>19222.612001163357</v>
      </c>
      <c r="S59" s="37">
        <f t="shared" si="19"/>
        <v>19629.183953231375</v>
      </c>
      <c r="T59" s="37">
        <f t="shared" si="19"/>
        <v>20025.832490794179</v>
      </c>
      <c r="U59" s="37">
        <f t="shared" si="19"/>
        <v>20410.367549301067</v>
      </c>
      <c r="V59" s="37">
        <f t="shared" si="19"/>
        <v>20777.753449475076</v>
      </c>
      <c r="W59" s="37">
        <f t="shared" si="19"/>
        <v>21123.271976412696</v>
      </c>
      <c r="X59" s="37">
        <f t="shared" si="19"/>
        <v>21447.439306009557</v>
      </c>
      <c r="Y59" s="37">
        <f t="shared" si="19"/>
        <v>21759.728634159426</v>
      </c>
      <c r="Z59" s="37">
        <f t="shared" si="19"/>
        <v>22050.33503983634</v>
      </c>
      <c r="AA59" s="37">
        <f t="shared" si="19"/>
        <v>22315.230664652419</v>
      </c>
      <c r="AB59" s="37">
        <f t="shared" si="19"/>
        <v>22554.107232796068</v>
      </c>
    </row>
    <row r="60" spans="1:28" x14ac:dyDescent="0.25">
      <c r="A60" s="4" t="s">
        <v>217</v>
      </c>
      <c r="B60" s="37">
        <f t="shared" ref="B60:AB60" si="20">B40*B15*$F$6</f>
        <v>21340.988967442583</v>
      </c>
      <c r="C60" s="37">
        <f t="shared" si="20"/>
        <v>21789.755266867152</v>
      </c>
      <c r="D60" s="37">
        <f t="shared" si="20"/>
        <v>22255.623704647511</v>
      </c>
      <c r="E60" s="37">
        <f t="shared" si="20"/>
        <v>22728.526136258777</v>
      </c>
      <c r="F60" s="37">
        <f t="shared" si="20"/>
        <v>23213.209545598176</v>
      </c>
      <c r="G60" s="37">
        <f t="shared" si="20"/>
        <v>23709.924304881566</v>
      </c>
      <c r="H60" s="37">
        <f t="shared" si="20"/>
        <v>24219.703918730895</v>
      </c>
      <c r="I60" s="37">
        <f t="shared" si="20"/>
        <v>24776.488574823012</v>
      </c>
      <c r="J60" s="37">
        <f t="shared" si="20"/>
        <v>25343.189460628921</v>
      </c>
      <c r="K60" s="37">
        <f t="shared" si="20"/>
        <v>25915.412350233895</v>
      </c>
      <c r="L60" s="37">
        <f t="shared" si="20"/>
        <v>26491.795060025783</v>
      </c>
      <c r="M60" s="37">
        <f t="shared" si="20"/>
        <v>27071.293706073189</v>
      </c>
      <c r="N60" s="37">
        <f t="shared" si="20"/>
        <v>27648.930482697233</v>
      </c>
      <c r="O60" s="37">
        <f t="shared" si="20"/>
        <v>28221.794903638427</v>
      </c>
      <c r="P60" s="37">
        <f t="shared" si="20"/>
        <v>28786.014388343803</v>
      </c>
      <c r="Q60" s="37">
        <f t="shared" si="20"/>
        <v>29337.392351902825</v>
      </c>
      <c r="R60" s="37">
        <f t="shared" si="20"/>
        <v>29871.759956735626</v>
      </c>
      <c r="S60" s="37">
        <f t="shared" si="20"/>
        <v>30377.311259661758</v>
      </c>
      <c r="T60" s="37">
        <f t="shared" si="20"/>
        <v>30860.349994690117</v>
      </c>
      <c r="U60" s="37">
        <f t="shared" si="20"/>
        <v>31320.158725332883</v>
      </c>
      <c r="V60" s="37">
        <f t="shared" si="20"/>
        <v>31747.639597160494</v>
      </c>
      <c r="W60" s="37">
        <f t="shared" si="20"/>
        <v>32139.478748373567</v>
      </c>
      <c r="X60" s="37">
        <f t="shared" si="20"/>
        <v>32495.38682447491</v>
      </c>
      <c r="Y60" s="37">
        <f t="shared" si="20"/>
        <v>32831.114079688836</v>
      </c>
      <c r="Z60" s="37">
        <f t="shared" si="20"/>
        <v>33131.264276502399</v>
      </c>
      <c r="AA60" s="37">
        <f t="shared" si="20"/>
        <v>33392.829641636876</v>
      </c>
      <c r="AB60" s="37">
        <f t="shared" si="20"/>
        <v>33617.682360135543</v>
      </c>
    </row>
    <row r="61" spans="1:28" x14ac:dyDescent="0.25">
      <c r="A61" s="4" t="s">
        <v>218</v>
      </c>
      <c r="B61" s="37">
        <f t="shared" ref="B61:AB61" si="21">B41*B15*$F$7</f>
        <v>2826.2786155203225</v>
      </c>
      <c r="C61" s="37">
        <f t="shared" si="21"/>
        <v>2881.0387596435885</v>
      </c>
      <c r="D61" s="37">
        <f t="shared" si="21"/>
        <v>2938.4891463905742</v>
      </c>
      <c r="E61" s="37">
        <f t="shared" si="21"/>
        <v>2996.7033259869622</v>
      </c>
      <c r="F61" s="37">
        <f t="shared" si="21"/>
        <v>3056.6773422230394</v>
      </c>
      <c r="G61" s="37">
        <f t="shared" si="21"/>
        <v>3118.5246007566984</v>
      </c>
      <c r="H61" s="37">
        <f t="shared" si="21"/>
        <v>3182.2021284441721</v>
      </c>
      <c r="I61" s="37">
        <f t="shared" si="21"/>
        <v>3252.6255493484095</v>
      </c>
      <c r="J61" s="37">
        <f t="shared" si="21"/>
        <v>3325.0089211884992</v>
      </c>
      <c r="K61" s="37">
        <f t="shared" si="21"/>
        <v>3399.1768029814293</v>
      </c>
      <c r="L61" s="37">
        <f t="shared" si="21"/>
        <v>3475.1674934827829</v>
      </c>
      <c r="M61" s="37">
        <f t="shared" si="21"/>
        <v>3552.8354004596526</v>
      </c>
      <c r="N61" s="37">
        <f t="shared" si="21"/>
        <v>3632.3806589615233</v>
      </c>
      <c r="O61" s="37">
        <f t="shared" si="21"/>
        <v>3712.910553856887</v>
      </c>
      <c r="P61" s="37">
        <f t="shared" si="21"/>
        <v>3794.8479002305062</v>
      </c>
      <c r="Q61" s="37">
        <f t="shared" si="21"/>
        <v>3877.4361162198725</v>
      </c>
      <c r="R61" s="37">
        <f t="shared" si="21"/>
        <v>3960.5826944443834</v>
      </c>
      <c r="S61" s="37">
        <f t="shared" si="21"/>
        <v>4043.1383714985254</v>
      </c>
      <c r="T61" s="37">
        <f t="shared" si="21"/>
        <v>4125.4472307343522</v>
      </c>
      <c r="U61" s="37">
        <f t="shared" si="21"/>
        <v>4207.5452600017315</v>
      </c>
      <c r="V61" s="37">
        <f t="shared" si="21"/>
        <v>4288.9102566378315</v>
      </c>
      <c r="W61" s="37">
        <f t="shared" si="21"/>
        <v>4368.6988293716277</v>
      </c>
      <c r="X61" s="37">
        <f t="shared" si="21"/>
        <v>4446.5525670100069</v>
      </c>
      <c r="Y61" s="37">
        <f t="shared" si="21"/>
        <v>4523.5327716735592</v>
      </c>
      <c r="Z61" s="37">
        <f t="shared" si="21"/>
        <v>4598.3375282322786</v>
      </c>
      <c r="AA61" s="37">
        <f t="shared" si="21"/>
        <v>4670.851155544643</v>
      </c>
      <c r="AB61" s="37">
        <f t="shared" si="21"/>
        <v>4740.5077727121879</v>
      </c>
    </row>
    <row r="62" spans="1:28" x14ac:dyDescent="0.25">
      <c r="A62" s="4" t="s">
        <v>219</v>
      </c>
      <c r="B62" s="37">
        <f t="shared" ref="B62:AB62" si="22">B42*B15*$F$8</f>
        <v>1877.8055080540157</v>
      </c>
      <c r="C62" s="37">
        <f t="shared" si="22"/>
        <v>1930.140014057537</v>
      </c>
      <c r="D62" s="37">
        <f t="shared" si="22"/>
        <v>1985.838680898396</v>
      </c>
      <c r="E62" s="37">
        <f t="shared" si="22"/>
        <v>2045.067662606557</v>
      </c>
      <c r="F62" s="37">
        <f t="shared" si="22"/>
        <v>2108.4885969883753</v>
      </c>
      <c r="G62" s="37">
        <f t="shared" si="22"/>
        <v>2176.1365495571772</v>
      </c>
      <c r="H62" s="37">
        <f t="shared" si="22"/>
        <v>2248.2360960207825</v>
      </c>
      <c r="I62" s="37">
        <f t="shared" si="22"/>
        <v>2328.2902662833362</v>
      </c>
      <c r="J62" s="37">
        <f t="shared" si="22"/>
        <v>2411.9502521853819</v>
      </c>
      <c r="K62" s="37">
        <f t="shared" si="22"/>
        <v>2498.7982345213877</v>
      </c>
      <c r="L62" s="37">
        <f t="shared" si="22"/>
        <v>2589.5343186219766</v>
      </c>
      <c r="M62" s="37">
        <f t="shared" si="22"/>
        <v>2683.7272174458449</v>
      </c>
      <c r="N62" s="37">
        <f t="shared" si="22"/>
        <v>2781.0975000575663</v>
      </c>
      <c r="O62" s="37">
        <f t="shared" si="22"/>
        <v>2881.2087042465419</v>
      </c>
      <c r="P62" s="37">
        <f t="shared" si="22"/>
        <v>2983.8440577511606</v>
      </c>
      <c r="Q62" s="37">
        <f t="shared" si="22"/>
        <v>3088.4701008704928</v>
      </c>
      <c r="R62" s="37">
        <f t="shared" si="22"/>
        <v>3194.8233599228779</v>
      </c>
      <c r="S62" s="37">
        <f t="shared" si="22"/>
        <v>3301.4216837997192</v>
      </c>
      <c r="T62" s="37">
        <f t="shared" si="22"/>
        <v>3409.2198398056084</v>
      </c>
      <c r="U62" s="37">
        <f t="shared" si="22"/>
        <v>3517.4725872348408</v>
      </c>
      <c r="V62" s="37">
        <f t="shared" si="22"/>
        <v>3626.2749254749965</v>
      </c>
      <c r="W62" s="37">
        <f t="shared" si="22"/>
        <v>3735.3609144739644</v>
      </c>
      <c r="X62" s="37">
        <f t="shared" si="22"/>
        <v>3845.0203908840522</v>
      </c>
      <c r="Y62" s="37">
        <f t="shared" si="22"/>
        <v>3954.9751724400421</v>
      </c>
      <c r="Z62" s="37">
        <f t="shared" si="22"/>
        <v>4065.3159488963042</v>
      </c>
      <c r="AA62" s="37">
        <f t="shared" si="22"/>
        <v>4175.967216983503</v>
      </c>
      <c r="AB62" s="37">
        <f t="shared" si="22"/>
        <v>4286.5912078519195</v>
      </c>
    </row>
    <row r="63" spans="1:28" x14ac:dyDescent="0.25">
      <c r="A63" s="4" t="s">
        <v>220</v>
      </c>
      <c r="B63" s="37">
        <f t="shared" ref="B63:AB63" si="23">B43*B15*$F$9</f>
        <v>1082.1450821186627</v>
      </c>
      <c r="C63" s="37">
        <f t="shared" si="23"/>
        <v>1110.7471293632482</v>
      </c>
      <c r="D63" s="37">
        <f t="shared" si="23"/>
        <v>1141.4388197340691</v>
      </c>
      <c r="E63" s="37">
        <f t="shared" si="23"/>
        <v>1174.5816782570953</v>
      </c>
      <c r="F63" s="37">
        <f t="shared" si="23"/>
        <v>1208.2665214723593</v>
      </c>
      <c r="G63" s="37">
        <f t="shared" si="23"/>
        <v>1244.2348372036481</v>
      </c>
      <c r="H63" s="37">
        <f t="shared" si="23"/>
        <v>1281.3905498480615</v>
      </c>
      <c r="I63" s="37">
        <f t="shared" si="23"/>
        <v>1321.4319853891036</v>
      </c>
      <c r="J63" s="37">
        <f t="shared" si="23"/>
        <v>1362.5894744162965</v>
      </c>
      <c r="K63" s="37">
        <f t="shared" si="23"/>
        <v>1406.3590029240979</v>
      </c>
      <c r="L63" s="37">
        <f t="shared" si="23"/>
        <v>1451.4326948958924</v>
      </c>
      <c r="M63" s="37">
        <f t="shared" si="23"/>
        <v>1498.2761687067175</v>
      </c>
      <c r="N63" s="37">
        <f t="shared" si="23"/>
        <v>1546.2557880643424</v>
      </c>
      <c r="O63" s="37">
        <f t="shared" si="23"/>
        <v>1595.5074357299238</v>
      </c>
      <c r="P63" s="37">
        <f t="shared" si="23"/>
        <v>1646.4688560929558</v>
      </c>
      <c r="Q63" s="37">
        <f t="shared" si="23"/>
        <v>1698.9483804528529</v>
      </c>
      <c r="R63" s="37">
        <f t="shared" si="23"/>
        <v>1752.6392338933053</v>
      </c>
      <c r="S63" s="37">
        <f t="shared" si="23"/>
        <v>1806.5057744729315</v>
      </c>
      <c r="T63" s="37">
        <f t="shared" si="23"/>
        <v>1861.5446529669141</v>
      </c>
      <c r="U63" s="37">
        <f t="shared" si="23"/>
        <v>1917.2756848218573</v>
      </c>
      <c r="V63" s="37">
        <f t="shared" si="23"/>
        <v>1973.1412238549051</v>
      </c>
      <c r="W63" s="37">
        <f t="shared" si="23"/>
        <v>2030.3419448227376</v>
      </c>
      <c r="X63" s="37">
        <f t="shared" si="23"/>
        <v>2087.9065366764903</v>
      </c>
      <c r="Y63" s="37">
        <f t="shared" si="23"/>
        <v>2146.423971352323</v>
      </c>
      <c r="Z63" s="37">
        <f t="shared" si="23"/>
        <v>2205.0676167455158</v>
      </c>
      <c r="AA63" s="37">
        <f t="shared" si="23"/>
        <v>2264.1485662892851</v>
      </c>
      <c r="AB63" s="37">
        <f t="shared" si="23"/>
        <v>2324.0047521488477</v>
      </c>
    </row>
    <row r="64" spans="1:28" x14ac:dyDescent="0.25">
      <c r="A64" s="4" t="s">
        <v>221</v>
      </c>
      <c r="B64" s="37">
        <f t="shared" ref="B64:AB64" si="24">B44*B15*$F$10</f>
        <v>3790.4004988732472</v>
      </c>
      <c r="C64" s="37">
        <f t="shared" si="24"/>
        <v>3940.6447638706263</v>
      </c>
      <c r="D64" s="37">
        <f t="shared" si="24"/>
        <v>4097.982847023075</v>
      </c>
      <c r="E64" s="37">
        <f t="shared" si="24"/>
        <v>4260.2170900109331</v>
      </c>
      <c r="F64" s="37">
        <f t="shared" si="24"/>
        <v>4427.4644050856614</v>
      </c>
      <c r="G64" s="37">
        <f t="shared" si="24"/>
        <v>4600.3396844546878</v>
      </c>
      <c r="H64" s="37">
        <f t="shared" si="24"/>
        <v>4780.4375316522919</v>
      </c>
      <c r="I64" s="37">
        <f t="shared" si="24"/>
        <v>4975.1792420659131</v>
      </c>
      <c r="J64" s="37">
        <f t="shared" si="24"/>
        <v>5176.5741976055988</v>
      </c>
      <c r="K64" s="37">
        <f t="shared" si="24"/>
        <v>5385.9320102525726</v>
      </c>
      <c r="L64" s="37">
        <f t="shared" si="24"/>
        <v>5604.3146324674044</v>
      </c>
      <c r="M64" s="37">
        <f t="shared" si="24"/>
        <v>5830.5015023138403</v>
      </c>
      <c r="N64" s="37">
        <f t="shared" si="24"/>
        <v>6066.1491462920412</v>
      </c>
      <c r="O64" s="37">
        <f t="shared" si="24"/>
        <v>6310.4060813506749</v>
      </c>
      <c r="P64" s="37">
        <f t="shared" si="24"/>
        <v>6563.1338279419833</v>
      </c>
      <c r="Q64" s="37">
        <f t="shared" si="24"/>
        <v>6824.7598899807626</v>
      </c>
      <c r="R64" s="37">
        <f t="shared" si="24"/>
        <v>7094.0394938816708</v>
      </c>
      <c r="S64" s="37">
        <f t="shared" si="24"/>
        <v>7368.9480392736932</v>
      </c>
      <c r="T64" s="37">
        <f t="shared" si="24"/>
        <v>7651.4441575844012</v>
      </c>
      <c r="U64" s="37">
        <f t="shared" si="24"/>
        <v>7941.1140387173773</v>
      </c>
      <c r="V64" s="37">
        <f t="shared" si="24"/>
        <v>8236.9786237777462</v>
      </c>
      <c r="W64" s="37">
        <f t="shared" si="24"/>
        <v>8537.9521761787219</v>
      </c>
      <c r="X64" s="37">
        <f t="shared" si="24"/>
        <v>8845.1063170676516</v>
      </c>
      <c r="Y64" s="37">
        <f t="shared" si="24"/>
        <v>9156.7007980620619</v>
      </c>
      <c r="Z64" s="37">
        <f t="shared" si="24"/>
        <v>9472.617281947385</v>
      </c>
      <c r="AA64" s="37">
        <f t="shared" si="24"/>
        <v>9790.7126862463847</v>
      </c>
      <c r="AB64" s="37">
        <f t="shared" si="24"/>
        <v>10110.662935342274</v>
      </c>
    </row>
    <row r="65" spans="1:28" x14ac:dyDescent="0.25">
      <c r="A65" s="4" t="s">
        <v>222</v>
      </c>
      <c r="B65" s="37">
        <f t="shared" ref="B65:AB65" si="25">B45*B15*$F$11</f>
        <v>22053.010826753132</v>
      </c>
      <c r="C65" s="37">
        <f t="shared" si="25"/>
        <v>22482.921328150504</v>
      </c>
      <c r="D65" s="37">
        <f t="shared" si="25"/>
        <v>22930.363297490665</v>
      </c>
      <c r="E65" s="37">
        <f t="shared" si="25"/>
        <v>23385.544164789149</v>
      </c>
      <c r="F65" s="37">
        <f t="shared" si="25"/>
        <v>23853.184011785641</v>
      </c>
      <c r="G65" s="37">
        <f t="shared" si="25"/>
        <v>24334.212084238756</v>
      </c>
      <c r="H65" s="37">
        <f t="shared" si="25"/>
        <v>24828.208040182599</v>
      </c>
      <c r="I65" s="37">
        <f t="shared" si="25"/>
        <v>25370.194801749247</v>
      </c>
      <c r="J65" s="37">
        <f t="shared" si="25"/>
        <v>25922.222467654203</v>
      </c>
      <c r="K65" s="37">
        <f t="shared" si="25"/>
        <v>26479.903679346888</v>
      </c>
      <c r="L65" s="37">
        <f t="shared" si="25"/>
        <v>27041.151519150852</v>
      </c>
      <c r="M65" s="37">
        <f t="shared" si="25"/>
        <v>27605.532767346049</v>
      </c>
      <c r="N65" s="37">
        <f t="shared" si="25"/>
        <v>28167.311868490629</v>
      </c>
      <c r="O65" s="37">
        <f t="shared" si="25"/>
        <v>28723.172603657411</v>
      </c>
      <c r="P65" s="37">
        <f t="shared" si="25"/>
        <v>29270.20355251521</v>
      </c>
      <c r="Q65" s="37">
        <f t="shared" si="25"/>
        <v>29803.130559985242</v>
      </c>
      <c r="R65" s="37">
        <f t="shared" si="25"/>
        <v>30318.420341705729</v>
      </c>
      <c r="S65" s="37">
        <f t="shared" si="25"/>
        <v>30803.810043306839</v>
      </c>
      <c r="T65" s="37">
        <f t="shared" si="25"/>
        <v>31265.394103260474</v>
      </c>
      <c r="U65" s="37">
        <f t="shared" si="25"/>
        <v>31702.130492372344</v>
      </c>
      <c r="V65" s="37">
        <f t="shared" si="25"/>
        <v>32105.430814619136</v>
      </c>
      <c r="W65" s="37">
        <f t="shared" si="25"/>
        <v>32472.432357896658</v>
      </c>
      <c r="X65" s="37">
        <f t="shared" si="25"/>
        <v>32801.553854210702</v>
      </c>
      <c r="Y65" s="37">
        <f t="shared" si="25"/>
        <v>33109.465767605579</v>
      </c>
      <c r="Z65" s="37">
        <f t="shared" si="25"/>
        <v>33380.363720253503</v>
      </c>
      <c r="AA65" s="37">
        <f t="shared" si="25"/>
        <v>33612.667889179822</v>
      </c>
      <c r="AB65" s="37">
        <f t="shared" si="25"/>
        <v>33807.659175688837</v>
      </c>
    </row>
    <row r="67" spans="1:28" x14ac:dyDescent="0.25">
      <c r="A67" s="4" t="s">
        <v>328</v>
      </c>
    </row>
    <row r="68" spans="1:28" x14ac:dyDescent="0.25">
      <c r="A68" s="4" t="s">
        <v>329</v>
      </c>
      <c r="B68" s="40">
        <f t="shared" ref="B68:AB68" si="26">B48+B49</f>
        <v>163.85052161689774</v>
      </c>
      <c r="C68" s="40">
        <f t="shared" si="26"/>
        <v>163.45091669368207</v>
      </c>
      <c r="D68" s="40">
        <f t="shared" si="26"/>
        <v>163.16684876792317</v>
      </c>
      <c r="E68" s="40">
        <f t="shared" si="26"/>
        <v>162.87367412696466</v>
      </c>
      <c r="F68" s="40">
        <f t="shared" si="26"/>
        <v>162.5432326183093</v>
      </c>
      <c r="G68" s="40">
        <f t="shared" si="26"/>
        <v>162.19529077544547</v>
      </c>
      <c r="H68" s="40">
        <f t="shared" si="26"/>
        <v>161.82141757617214</v>
      </c>
      <c r="I68" s="40">
        <f t="shared" si="26"/>
        <v>161.67009653979147</v>
      </c>
      <c r="J68" s="40">
        <f t="shared" si="26"/>
        <v>161.47967114256315</v>
      </c>
      <c r="K68" s="40">
        <f t="shared" si="26"/>
        <v>161.23658436618177</v>
      </c>
      <c r="L68" s="40">
        <f t="shared" si="26"/>
        <v>160.94850638287679</v>
      </c>
      <c r="M68" s="40">
        <f t="shared" si="26"/>
        <v>160.60714006895478</v>
      </c>
      <c r="N68" s="40">
        <f t="shared" si="26"/>
        <v>160.23261541215234</v>
      </c>
      <c r="O68" s="40">
        <f t="shared" si="26"/>
        <v>159.77910059243709</v>
      </c>
      <c r="P68" s="40">
        <f t="shared" si="26"/>
        <v>159.24981102025271</v>
      </c>
      <c r="Q68" s="40">
        <f t="shared" si="26"/>
        <v>158.67151125451937</v>
      </c>
      <c r="R68" s="40">
        <f t="shared" si="26"/>
        <v>158.02331830293033</v>
      </c>
      <c r="S68" s="40">
        <f t="shared" si="26"/>
        <v>157.28917811638132</v>
      </c>
      <c r="T68" s="40">
        <f t="shared" si="26"/>
        <v>156.52558125321229</v>
      </c>
      <c r="U68" s="40">
        <f t="shared" si="26"/>
        <v>155.75214790130826</v>
      </c>
      <c r="V68" s="40">
        <f t="shared" si="26"/>
        <v>154.98859888660564</v>
      </c>
      <c r="W68" s="40">
        <f t="shared" si="26"/>
        <v>154.23352887264929</v>
      </c>
      <c r="X68" s="40">
        <f t="shared" si="26"/>
        <v>153.54254301473736</v>
      </c>
      <c r="Y68" s="40">
        <f t="shared" si="26"/>
        <v>152.88001475427237</v>
      </c>
      <c r="Z68" s="40">
        <f t="shared" si="26"/>
        <v>152.24652749048215</v>
      </c>
      <c r="AA68" s="40">
        <f t="shared" si="26"/>
        <v>151.6396629117834</v>
      </c>
      <c r="AB68" s="40">
        <f t="shared" si="26"/>
        <v>151.08073495955495</v>
      </c>
    </row>
    <row r="69" spans="1:28" x14ac:dyDescent="0.25">
      <c r="A69" s="4" t="s">
        <v>330</v>
      </c>
      <c r="B69" s="40">
        <f t="shared" ref="B69:AB69" si="27">B50+B51+B52+B53</f>
        <v>164.11215775930521</v>
      </c>
      <c r="C69" s="40">
        <f t="shared" si="27"/>
        <v>163.9745068575607</v>
      </c>
      <c r="D69" s="40">
        <f t="shared" si="27"/>
        <v>163.93326635483913</v>
      </c>
      <c r="E69" s="40">
        <f t="shared" si="27"/>
        <v>163.90917276410892</v>
      </c>
      <c r="F69" s="40">
        <f t="shared" si="27"/>
        <v>163.84834169779481</v>
      </c>
      <c r="G69" s="40">
        <f t="shared" si="27"/>
        <v>163.75983209613875</v>
      </c>
      <c r="H69" s="40">
        <f t="shared" si="27"/>
        <v>163.68319150005198</v>
      </c>
      <c r="I69" s="40">
        <f t="shared" si="27"/>
        <v>163.80488025149029</v>
      </c>
      <c r="J69" s="40">
        <f t="shared" si="27"/>
        <v>163.90254382751269</v>
      </c>
      <c r="K69" s="40">
        <f t="shared" si="27"/>
        <v>163.94445485145124</v>
      </c>
      <c r="L69" s="40">
        <f t="shared" si="27"/>
        <v>163.9403914426851</v>
      </c>
      <c r="M69" s="40">
        <f t="shared" si="27"/>
        <v>163.86229846457934</v>
      </c>
      <c r="N69" s="40">
        <f t="shared" si="27"/>
        <v>163.77076106193175</v>
      </c>
      <c r="O69" s="40">
        <f t="shared" si="27"/>
        <v>163.59181814720142</v>
      </c>
      <c r="P69" s="40">
        <f t="shared" si="27"/>
        <v>163.32116526980656</v>
      </c>
      <c r="Q69" s="40">
        <f t="shared" si="27"/>
        <v>162.99768974316157</v>
      </c>
      <c r="R69" s="40">
        <f t="shared" si="27"/>
        <v>162.59590047737206</v>
      </c>
      <c r="S69" s="40">
        <f t="shared" si="27"/>
        <v>162.11203850346024</v>
      </c>
      <c r="T69" s="40">
        <f t="shared" si="27"/>
        <v>161.57729835625946</v>
      </c>
      <c r="U69" s="40">
        <f t="shared" si="27"/>
        <v>161.03782053082725</v>
      </c>
      <c r="V69" s="40">
        <f t="shared" si="27"/>
        <v>160.49885438867946</v>
      </c>
      <c r="W69" s="40">
        <f t="shared" si="27"/>
        <v>159.97178851913768</v>
      </c>
      <c r="X69" s="40">
        <f t="shared" si="27"/>
        <v>159.51201707192695</v>
      </c>
      <c r="Y69" s="40">
        <f t="shared" si="27"/>
        <v>159.06747933363002</v>
      </c>
      <c r="Z69" s="40">
        <f t="shared" si="27"/>
        <v>158.6613332598869</v>
      </c>
      <c r="AA69" s="40">
        <f t="shared" si="27"/>
        <v>158.2543953261611</v>
      </c>
      <c r="AB69" s="40">
        <f t="shared" si="27"/>
        <v>157.92010112038082</v>
      </c>
    </row>
    <row r="70" spans="1:28" x14ac:dyDescent="0.25">
      <c r="A70" s="4" t="s">
        <v>331</v>
      </c>
      <c r="B70" s="40">
        <f t="shared" ref="B70:AB70" si="28">B54+B55</f>
        <v>167.2387181259119</v>
      </c>
      <c r="C70" s="40">
        <f t="shared" si="28"/>
        <v>167.11705347566331</v>
      </c>
      <c r="D70" s="40">
        <f t="shared" si="28"/>
        <v>167.13165287019714</v>
      </c>
      <c r="E70" s="40">
        <f t="shared" si="28"/>
        <v>167.1483800735013</v>
      </c>
      <c r="F70" s="40">
        <f t="shared" si="28"/>
        <v>167.15743703030736</v>
      </c>
      <c r="G70" s="40">
        <f t="shared" si="28"/>
        <v>167.12776256862387</v>
      </c>
      <c r="H70" s="40">
        <f t="shared" si="28"/>
        <v>167.07297909235513</v>
      </c>
      <c r="I70" s="40">
        <f t="shared" si="28"/>
        <v>167.24710708696091</v>
      </c>
      <c r="J70" s="40">
        <f t="shared" si="28"/>
        <v>167.37961219347619</v>
      </c>
      <c r="K70" s="40">
        <f t="shared" si="28"/>
        <v>167.45554906374758</v>
      </c>
      <c r="L70" s="40">
        <f t="shared" si="28"/>
        <v>167.47618837372835</v>
      </c>
      <c r="M70" s="40">
        <f t="shared" si="28"/>
        <v>167.43216904782383</v>
      </c>
      <c r="N70" s="40">
        <f t="shared" si="28"/>
        <v>167.34054649394804</v>
      </c>
      <c r="O70" s="40">
        <f t="shared" si="28"/>
        <v>167.1647023904784</v>
      </c>
      <c r="P70" s="40">
        <f t="shared" si="28"/>
        <v>166.88077589112413</v>
      </c>
      <c r="Q70" s="40">
        <f t="shared" si="28"/>
        <v>166.53620945061397</v>
      </c>
      <c r="R70" s="40">
        <f t="shared" si="28"/>
        <v>166.08827758323739</v>
      </c>
      <c r="S70" s="40">
        <f t="shared" si="28"/>
        <v>165.56003178533825</v>
      </c>
      <c r="T70" s="40">
        <f t="shared" si="28"/>
        <v>164.97751436761087</v>
      </c>
      <c r="U70" s="40">
        <f t="shared" si="28"/>
        <v>164.35705735434388</v>
      </c>
      <c r="V70" s="40">
        <f t="shared" si="28"/>
        <v>163.74600942830585</v>
      </c>
      <c r="W70" s="40">
        <f t="shared" si="28"/>
        <v>163.10341374845063</v>
      </c>
      <c r="X70" s="40">
        <f t="shared" si="28"/>
        <v>162.55344698266998</v>
      </c>
      <c r="Y70" s="40">
        <f t="shared" si="28"/>
        <v>162.02024767889768</v>
      </c>
      <c r="Z70" s="40">
        <f t="shared" si="28"/>
        <v>161.51032232494848</v>
      </c>
      <c r="AA70" s="40">
        <f t="shared" si="28"/>
        <v>161.03040518365293</v>
      </c>
      <c r="AB70" s="40">
        <f t="shared" si="28"/>
        <v>160.60738233808496</v>
      </c>
    </row>
    <row r="71" spans="1:28" x14ac:dyDescent="0.25">
      <c r="A71" s="4" t="s">
        <v>332</v>
      </c>
      <c r="B71" s="40">
        <f t="shared" ref="B71:AB71" si="29">B58+B59</f>
        <v>28005.719516777615</v>
      </c>
      <c r="C71" s="40">
        <f t="shared" si="29"/>
        <v>28600.964540866553</v>
      </c>
      <c r="D71" s="40">
        <f t="shared" si="29"/>
        <v>29221.068177600424</v>
      </c>
      <c r="E71" s="40">
        <f t="shared" si="29"/>
        <v>29853.169860080005</v>
      </c>
      <c r="F71" s="40">
        <f t="shared" si="29"/>
        <v>30502.774874064366</v>
      </c>
      <c r="G71" s="40">
        <f t="shared" si="29"/>
        <v>31171.34579244929</v>
      </c>
      <c r="H71" s="40">
        <f t="shared" si="29"/>
        <v>31859.372571986161</v>
      </c>
      <c r="I71" s="40">
        <f t="shared" si="29"/>
        <v>32612.23357350372</v>
      </c>
      <c r="J71" s="40">
        <f t="shared" si="29"/>
        <v>33380.768070863225</v>
      </c>
      <c r="K71" s="40">
        <f t="shared" si="29"/>
        <v>34160.775993649557</v>
      </c>
      <c r="L71" s="40">
        <f t="shared" si="29"/>
        <v>34950.493930663331</v>
      </c>
      <c r="M71" s="40">
        <f t="shared" si="29"/>
        <v>35748.647572140086</v>
      </c>
      <c r="N71" s="40">
        <f t="shared" si="29"/>
        <v>36549.666052340457</v>
      </c>
      <c r="O71" s="40">
        <f t="shared" si="29"/>
        <v>37349.199775139263</v>
      </c>
      <c r="P71" s="40">
        <f t="shared" si="29"/>
        <v>38143.756993902265</v>
      </c>
      <c r="Q71" s="40">
        <f t="shared" si="29"/>
        <v>38927.562290388829</v>
      </c>
      <c r="R71" s="40">
        <f t="shared" si="29"/>
        <v>39695.699390393202</v>
      </c>
      <c r="S71" s="40">
        <f t="shared" si="29"/>
        <v>40432.707025282187</v>
      </c>
      <c r="T71" s="40">
        <f t="shared" si="29"/>
        <v>41146.910298013281</v>
      </c>
      <c r="U71" s="40">
        <f t="shared" si="29"/>
        <v>41836.880926672951</v>
      </c>
      <c r="V71" s="40">
        <f t="shared" si="29"/>
        <v>42492.029113734272</v>
      </c>
      <c r="W71" s="40">
        <f t="shared" si="29"/>
        <v>43108.424954537164</v>
      </c>
      <c r="X71" s="40">
        <f t="shared" si="29"/>
        <v>43684.885807092214</v>
      </c>
      <c r="Y71" s="40">
        <f t="shared" si="29"/>
        <v>44239.618584499665</v>
      </c>
      <c r="Z71" s="40">
        <f t="shared" si="29"/>
        <v>44754.242171248072</v>
      </c>
      <c r="AA71" s="40">
        <f t="shared" si="29"/>
        <v>45225.631006973708</v>
      </c>
      <c r="AB71" s="40">
        <f t="shared" si="29"/>
        <v>45655.0920261301</v>
      </c>
    </row>
    <row r="72" spans="1:28" x14ac:dyDescent="0.25">
      <c r="A72" s="4" t="s">
        <v>333</v>
      </c>
      <c r="B72" s="40">
        <f t="shared" ref="B72:AB72" si="30">B60+B61+B62+B63</f>
        <v>27127.218173135581</v>
      </c>
      <c r="C72" s="40">
        <f t="shared" si="30"/>
        <v>27711.681169931522</v>
      </c>
      <c r="D72" s="40">
        <f t="shared" si="30"/>
        <v>28321.39035167055</v>
      </c>
      <c r="E72" s="40">
        <f t="shared" si="30"/>
        <v>28944.878803109394</v>
      </c>
      <c r="F72" s="40">
        <f t="shared" si="30"/>
        <v>29586.642006281952</v>
      </c>
      <c r="G72" s="40">
        <f t="shared" si="30"/>
        <v>30248.82029239909</v>
      </c>
      <c r="H72" s="40">
        <f t="shared" si="30"/>
        <v>30931.532693043911</v>
      </c>
      <c r="I72" s="40">
        <f t="shared" si="30"/>
        <v>31678.836375843861</v>
      </c>
      <c r="J72" s="40">
        <f t="shared" si="30"/>
        <v>32442.7381084191</v>
      </c>
      <c r="K72" s="40">
        <f t="shared" si="30"/>
        <v>33219.74639066081</v>
      </c>
      <c r="L72" s="40">
        <f t="shared" si="30"/>
        <v>34007.929567026433</v>
      </c>
      <c r="M72" s="40">
        <f t="shared" si="30"/>
        <v>34806.132492685407</v>
      </c>
      <c r="N72" s="40">
        <f t="shared" si="30"/>
        <v>35608.664429780663</v>
      </c>
      <c r="O72" s="40">
        <f t="shared" si="30"/>
        <v>36411.421597471781</v>
      </c>
      <c r="P72" s="40">
        <f t="shared" si="30"/>
        <v>37211.175202418424</v>
      </c>
      <c r="Q72" s="40">
        <f t="shared" si="30"/>
        <v>38002.246949446038</v>
      </c>
      <c r="R72" s="40">
        <f t="shared" si="30"/>
        <v>38779.805244996191</v>
      </c>
      <c r="S72" s="40">
        <f t="shared" si="30"/>
        <v>39528.377089432943</v>
      </c>
      <c r="T72" s="40">
        <f t="shared" si="30"/>
        <v>40256.561718196986</v>
      </c>
      <c r="U72" s="40">
        <f t="shared" si="30"/>
        <v>40962.452257391313</v>
      </c>
      <c r="V72" s="40">
        <f t="shared" si="30"/>
        <v>41635.966003128218</v>
      </c>
      <c r="W72" s="40">
        <f t="shared" si="30"/>
        <v>42273.880437041902</v>
      </c>
      <c r="X72" s="40">
        <f t="shared" si="30"/>
        <v>42874.866319045461</v>
      </c>
      <c r="Y72" s="40">
        <f t="shared" si="30"/>
        <v>43456.04599515476</v>
      </c>
      <c r="Z72" s="40">
        <f t="shared" si="30"/>
        <v>43999.985370376504</v>
      </c>
      <c r="AA72" s="40">
        <f t="shared" si="30"/>
        <v>44503.796580454313</v>
      </c>
      <c r="AB72" s="40">
        <f t="shared" si="30"/>
        <v>44968.786092848495</v>
      </c>
    </row>
    <row r="73" spans="1:28" x14ac:dyDescent="0.25">
      <c r="A73" s="4" t="s">
        <v>334</v>
      </c>
      <c r="B73" s="40">
        <f t="shared" ref="B73:AB73" si="31">B64+B65</f>
        <v>25843.411325626381</v>
      </c>
      <c r="C73" s="40">
        <f t="shared" si="31"/>
        <v>26423.56609202113</v>
      </c>
      <c r="D73" s="40">
        <f t="shared" si="31"/>
        <v>27028.34614451374</v>
      </c>
      <c r="E73" s="40">
        <f t="shared" si="31"/>
        <v>27645.761254800083</v>
      </c>
      <c r="F73" s="40">
        <f t="shared" si="31"/>
        <v>28280.648416871303</v>
      </c>
      <c r="G73" s="40">
        <f t="shared" si="31"/>
        <v>28934.551768693444</v>
      </c>
      <c r="H73" s="40">
        <f t="shared" si="31"/>
        <v>29608.645571834892</v>
      </c>
      <c r="I73" s="40">
        <f t="shared" si="31"/>
        <v>30345.374043815158</v>
      </c>
      <c r="J73" s="40">
        <f t="shared" si="31"/>
        <v>31098.796665259801</v>
      </c>
      <c r="K73" s="40">
        <f t="shared" si="31"/>
        <v>31865.835689599458</v>
      </c>
      <c r="L73" s="40">
        <f t="shared" si="31"/>
        <v>32645.466151618257</v>
      </c>
      <c r="M73" s="40">
        <f t="shared" si="31"/>
        <v>33436.034269659889</v>
      </c>
      <c r="N73" s="40">
        <f t="shared" si="31"/>
        <v>34233.461014782668</v>
      </c>
      <c r="O73" s="40">
        <f t="shared" si="31"/>
        <v>35033.578685008084</v>
      </c>
      <c r="P73" s="40">
        <f t="shared" si="31"/>
        <v>35833.337380457189</v>
      </c>
      <c r="Q73" s="40">
        <f t="shared" si="31"/>
        <v>36627.890449966006</v>
      </c>
      <c r="R73" s="40">
        <f t="shared" si="31"/>
        <v>37412.459835587397</v>
      </c>
      <c r="S73" s="40">
        <f t="shared" si="31"/>
        <v>38172.758082580534</v>
      </c>
      <c r="T73" s="40">
        <f t="shared" si="31"/>
        <v>38916.838260844874</v>
      </c>
      <c r="U73" s="40">
        <f t="shared" si="31"/>
        <v>39643.244531089724</v>
      </c>
      <c r="V73" s="40">
        <f t="shared" si="31"/>
        <v>40342.409438396884</v>
      </c>
      <c r="W73" s="40">
        <f t="shared" si="31"/>
        <v>41010.384534075376</v>
      </c>
      <c r="X73" s="40">
        <f t="shared" si="31"/>
        <v>41646.660171278352</v>
      </c>
      <c r="Y73" s="40">
        <f t="shared" si="31"/>
        <v>42266.166565667641</v>
      </c>
      <c r="Z73" s="40">
        <f t="shared" si="31"/>
        <v>42852.98100220089</v>
      </c>
      <c r="AA73" s="40">
        <f t="shared" si="31"/>
        <v>43403.380575426207</v>
      </c>
      <c r="AB73" s="40">
        <f t="shared" si="31"/>
        <v>43918.322111031113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92.360840293085616</v>
      </c>
      <c r="C2" s="37">
        <f>BDbDT_calcs!C48</f>
        <v>92.051388414788534</v>
      </c>
      <c r="D2" s="37">
        <f>BDbDT_calcs!D48</f>
        <v>91.801893523565738</v>
      </c>
      <c r="E2" s="37">
        <f>BDbDT_calcs!E48</f>
        <v>91.551802425435667</v>
      </c>
      <c r="F2" s="37">
        <f>BDbDT_calcs!F48</f>
        <v>91.282045585161825</v>
      </c>
      <c r="G2" s="37">
        <f>BDbDT_calcs!G48</f>
        <v>90.992767504423057</v>
      </c>
      <c r="H2" s="37">
        <f>BDbDT_calcs!H48</f>
        <v>90.684581202442757</v>
      </c>
      <c r="I2" s="37">
        <f>BDbDT_calcs!I48</f>
        <v>90.541033158040193</v>
      </c>
      <c r="J2" s="37">
        <f>BDbDT_calcs!J48</f>
        <v>90.326482014091766</v>
      </c>
      <c r="K2" s="37">
        <f>BDbDT_calcs!K48</f>
        <v>90.119149866935373</v>
      </c>
      <c r="L2" s="37">
        <f>BDbDT_calcs!L48</f>
        <v>89.846877699991168</v>
      </c>
      <c r="M2" s="37">
        <f>BDbDT_calcs!M48</f>
        <v>89.58194548874441</v>
      </c>
      <c r="N2" s="37">
        <f>BDbDT_calcs!N48</f>
        <v>89.335325068515303</v>
      </c>
      <c r="O2" s="37">
        <f>BDbDT_calcs!O48</f>
        <v>88.95899924058385</v>
      </c>
      <c r="P2" s="37">
        <f>BDbDT_calcs!P48</f>
        <v>88.610722014113719</v>
      </c>
      <c r="Q2" s="37">
        <f>BDbDT_calcs!Q48</f>
        <v>88.19406879385005</v>
      </c>
      <c r="R2" s="37">
        <f>BDbDT_calcs!R48</f>
        <v>87.76162098725888</v>
      </c>
      <c r="S2" s="37">
        <f>BDbDT_calcs!S48</f>
        <v>87.265796652972952</v>
      </c>
      <c r="T2" s="37">
        <f>BDbDT_calcs!T48</f>
        <v>86.764209030740645</v>
      </c>
      <c r="U2" s="37">
        <f>BDbDT_calcs!U48</f>
        <v>86.256024405840606</v>
      </c>
      <c r="V2" s="37">
        <f>BDbDT_calcs!V48</f>
        <v>85.740123284751661</v>
      </c>
      <c r="W2" s="37">
        <f>BDbDT_calcs!W48</f>
        <v>85.226511678482694</v>
      </c>
      <c r="X2" s="37">
        <f>BDbDT_calcs!X48</f>
        <v>84.793552406808089</v>
      </c>
      <c r="Y2" s="37">
        <f>BDbDT_calcs!Y48</f>
        <v>84.351042820901</v>
      </c>
      <c r="Z2" s="37">
        <f>BDbDT_calcs!Z48</f>
        <v>83.955367703445546</v>
      </c>
      <c r="AA2" s="37">
        <f>BDbDT_calcs!AA48</f>
        <v>83.560259745656893</v>
      </c>
      <c r="AB2" s="37">
        <f>BDbDT_calcs!AB48</f>
        <v>83.15316688097343</v>
      </c>
    </row>
    <row r="3" spans="1:28" x14ac:dyDescent="0.25">
      <c r="A3" s="4" t="s">
        <v>216</v>
      </c>
      <c r="B3" s="37">
        <f>BDbDT_calcs!B49</f>
        <v>71.489681323812121</v>
      </c>
      <c r="C3" s="37">
        <f>BDbDT_calcs!C49</f>
        <v>71.399528278893555</v>
      </c>
      <c r="D3" s="37">
        <f>BDbDT_calcs!D49</f>
        <v>71.364955244357446</v>
      </c>
      <c r="E3" s="37">
        <f>BDbDT_calcs!E49</f>
        <v>71.321871701529005</v>
      </c>
      <c r="F3" s="37">
        <f>BDbDT_calcs!F49</f>
        <v>71.261187033147479</v>
      </c>
      <c r="G3" s="37">
        <f>BDbDT_calcs!G49</f>
        <v>71.202523271022429</v>
      </c>
      <c r="H3" s="37">
        <f>BDbDT_calcs!H49</f>
        <v>71.136836373729381</v>
      </c>
      <c r="I3" s="37">
        <f>BDbDT_calcs!I49</f>
        <v>71.129063381751266</v>
      </c>
      <c r="J3" s="37">
        <f>BDbDT_calcs!J49</f>
        <v>71.153189128471382</v>
      </c>
      <c r="K3" s="37">
        <f>BDbDT_calcs!K49</f>
        <v>71.117434499246414</v>
      </c>
      <c r="L3" s="37">
        <f>BDbDT_calcs!L49</f>
        <v>71.101628682885618</v>
      </c>
      <c r="M3" s="37">
        <f>BDbDT_calcs!M49</f>
        <v>71.025194580210353</v>
      </c>
      <c r="N3" s="37">
        <f>BDbDT_calcs!N49</f>
        <v>70.897290343637039</v>
      </c>
      <c r="O3" s="37">
        <f>BDbDT_calcs!O49</f>
        <v>70.820101351853253</v>
      </c>
      <c r="P3" s="37">
        <f>BDbDT_calcs!P49</f>
        <v>70.639089006138988</v>
      </c>
      <c r="Q3" s="37">
        <f>BDbDT_calcs!Q49</f>
        <v>70.477442460669337</v>
      </c>
      <c r="R3" s="37">
        <f>BDbDT_calcs!R49</f>
        <v>70.261697315671455</v>
      </c>
      <c r="S3" s="37">
        <f>BDbDT_calcs!S49</f>
        <v>70.02338146340837</v>
      </c>
      <c r="T3" s="37">
        <f>BDbDT_calcs!T49</f>
        <v>69.761372222471635</v>
      </c>
      <c r="U3" s="37">
        <f>BDbDT_calcs!U49</f>
        <v>69.496123495467671</v>
      </c>
      <c r="V3" s="37">
        <f>BDbDT_calcs!V49</f>
        <v>69.248475601853983</v>
      </c>
      <c r="W3" s="37">
        <f>BDbDT_calcs!W49</f>
        <v>69.007017194166593</v>
      </c>
      <c r="X3" s="37">
        <f>BDbDT_calcs!X49</f>
        <v>68.748990607929272</v>
      </c>
      <c r="Y3" s="37">
        <f>BDbDT_calcs!Y49</f>
        <v>68.528971933371366</v>
      </c>
      <c r="Z3" s="37">
        <f>BDbDT_calcs!Z49</f>
        <v>68.291159787036605</v>
      </c>
      <c r="AA3" s="37">
        <f>BDbDT_calcs!AA49</f>
        <v>68.079403166126511</v>
      </c>
      <c r="AB3" s="37">
        <f>BDbDT_calcs!AB49</f>
        <v>67.92756807858153</v>
      </c>
    </row>
    <row r="4" spans="1:28" x14ac:dyDescent="0.25">
      <c r="A4" s="4" t="s">
        <v>217</v>
      </c>
      <c r="B4" s="37">
        <f>BDbDT_calcs!B50</f>
        <v>89.744446196728859</v>
      </c>
      <c r="C4" s="37">
        <f>BDbDT_calcs!C50</f>
        <v>89.52944406081744</v>
      </c>
      <c r="D4" s="37">
        <f>BDbDT_calcs!D50</f>
        <v>89.392376565018395</v>
      </c>
      <c r="E4" s="37">
        <f>BDbDT_calcs!E50</f>
        <v>89.237332935144977</v>
      </c>
      <c r="F4" s="37">
        <f>BDbDT_calcs!F50</f>
        <v>89.074255538224918</v>
      </c>
      <c r="G4" s="37">
        <f>BDbDT_calcs!G50</f>
        <v>88.91279931572241</v>
      </c>
      <c r="H4" s="37">
        <f>BDbDT_calcs!H50</f>
        <v>88.716383143673852</v>
      </c>
      <c r="I4" s="37">
        <f>BDbDT_calcs!I50</f>
        <v>88.661872787686235</v>
      </c>
      <c r="J4" s="37">
        <f>BDbDT_calcs!J50</f>
        <v>88.561744692901044</v>
      </c>
      <c r="K4" s="37">
        <f>BDbDT_calcs!K50</f>
        <v>88.421805535019232</v>
      </c>
      <c r="L4" s="37">
        <f>BDbDT_calcs!L50</f>
        <v>88.232022919671309</v>
      </c>
      <c r="M4" s="37">
        <f>BDbDT_calcs!M50</f>
        <v>87.991709340957755</v>
      </c>
      <c r="N4" s="37">
        <f>BDbDT_calcs!N50</f>
        <v>87.700052118287303</v>
      </c>
      <c r="O4" s="37">
        <f>BDbDT_calcs!O50</f>
        <v>87.326645770673835</v>
      </c>
      <c r="P4" s="37">
        <f>BDbDT_calcs!P50</f>
        <v>86.909525230600167</v>
      </c>
      <c r="Q4" s="37">
        <f>BDbDT_calcs!Q50</f>
        <v>86.43766815320636</v>
      </c>
      <c r="R4" s="37">
        <f>BDbDT_calcs!R50</f>
        <v>85.909684640185489</v>
      </c>
      <c r="S4" s="37">
        <f>BDbDT_calcs!S50</f>
        <v>85.319811892135633</v>
      </c>
      <c r="T4" s="37">
        <f>BDbDT_calcs!T50</f>
        <v>84.722782107280835</v>
      </c>
      <c r="U4" s="37">
        <f>BDbDT_calcs!U50</f>
        <v>84.117743276816086</v>
      </c>
      <c r="V4" s="37">
        <f>BDbDT_calcs!V50</f>
        <v>83.513932683738815</v>
      </c>
      <c r="W4" s="37">
        <f>BDbDT_calcs!W50</f>
        <v>82.931212632744391</v>
      </c>
      <c r="X4" s="37">
        <f>BDbDT_calcs!X50</f>
        <v>82.37953566462771</v>
      </c>
      <c r="Y4" s="37">
        <f>BDbDT_calcs!Y50</f>
        <v>81.837819797155632</v>
      </c>
      <c r="Z4" s="37">
        <f>BDbDT_calcs!Z50</f>
        <v>81.316056797634303</v>
      </c>
      <c r="AA4" s="37">
        <f>BDbDT_calcs!AA50</f>
        <v>80.835322351876258</v>
      </c>
      <c r="AB4" s="37">
        <f>BDbDT_calcs!AB50</f>
        <v>80.374031981408919</v>
      </c>
    </row>
    <row r="5" spans="1:28" x14ac:dyDescent="0.25">
      <c r="A5" s="4" t="s">
        <v>218</v>
      </c>
      <c r="B5" s="37">
        <f>BDbDT_calcs!B51</f>
        <v>36.556946125143966</v>
      </c>
      <c r="C5" s="37">
        <f>BDbDT_calcs!C51</f>
        <v>36.217024067757571</v>
      </c>
      <c r="D5" s="37">
        <f>BDbDT_calcs!D51</f>
        <v>35.910450509217966</v>
      </c>
      <c r="E5" s="37">
        <f>BDbDT_calcs!E51</f>
        <v>35.585668677184913</v>
      </c>
      <c r="F5" s="37">
        <f>BDbDT_calcs!F51</f>
        <v>35.242752869151715</v>
      </c>
      <c r="G5" s="37">
        <f>BDbDT_calcs!G51</f>
        <v>34.897590311818739</v>
      </c>
      <c r="H5" s="37">
        <f>BDbDT_calcs!H51</f>
        <v>34.526314165916716</v>
      </c>
      <c r="I5" s="37">
        <f>BDbDT_calcs!I51</f>
        <v>34.211112236645725</v>
      </c>
      <c r="J5" s="37">
        <f>BDbDT_calcs!J51</f>
        <v>33.892595520512039</v>
      </c>
      <c r="K5" s="37">
        <f>BDbDT_calcs!K51</f>
        <v>33.569599897895607</v>
      </c>
      <c r="L5" s="37">
        <f>BDbDT_calcs!L51</f>
        <v>33.258755773239606</v>
      </c>
      <c r="M5" s="37">
        <f>BDbDT_calcs!M51</f>
        <v>32.968792033922469</v>
      </c>
      <c r="N5" s="37">
        <f>BDbDT_calcs!N51</f>
        <v>32.675063212719081</v>
      </c>
      <c r="O5" s="37">
        <f>BDbDT_calcs!O51</f>
        <v>32.402943443241035</v>
      </c>
      <c r="P5" s="37">
        <f>BDbDT_calcs!P51</f>
        <v>32.12739096401134</v>
      </c>
      <c r="Q5" s="37">
        <f>BDbDT_calcs!Q51</f>
        <v>31.865459391803078</v>
      </c>
      <c r="R5" s="37">
        <f>BDbDT_calcs!R51</f>
        <v>31.608738351377188</v>
      </c>
      <c r="S5" s="37">
        <f>BDbDT_calcs!S51</f>
        <v>31.339526046250839</v>
      </c>
      <c r="T5" s="37">
        <f>BDbDT_calcs!T51</f>
        <v>31.075692396372549</v>
      </c>
      <c r="U5" s="37">
        <f>BDbDT_calcs!U51</f>
        <v>30.808265685802716</v>
      </c>
      <c r="V5" s="37">
        <f>BDbDT_calcs!V51</f>
        <v>30.554612865891706</v>
      </c>
      <c r="W5" s="37">
        <f>BDbDT_calcs!W51</f>
        <v>30.287766461176005</v>
      </c>
      <c r="X5" s="37">
        <f>BDbDT_calcs!X51</f>
        <v>30.034145734839555</v>
      </c>
      <c r="Y5" s="37">
        <f>BDbDT_calcs!Y51</f>
        <v>29.80293735771863</v>
      </c>
      <c r="Z5" s="37">
        <f>BDbDT_calcs!Z51</f>
        <v>29.566822994698889</v>
      </c>
      <c r="AA5" s="37">
        <f>BDbDT_calcs!AA51</f>
        <v>29.343844029551235</v>
      </c>
      <c r="AB5" s="37">
        <f>BDbDT_calcs!AB51</f>
        <v>29.115398392114024</v>
      </c>
    </row>
    <row r="6" spans="1:28" x14ac:dyDescent="0.25">
      <c r="A6" s="4" t="s">
        <v>219</v>
      </c>
      <c r="B6" s="37">
        <f>BDbDT_calcs!B52</f>
        <v>13.268368792188189</v>
      </c>
      <c r="C6" s="37">
        <f>BDbDT_calcs!C52</f>
        <v>13.370864579991597</v>
      </c>
      <c r="D6" s="37">
        <f>BDbDT_calcs!D52</f>
        <v>13.484877084062322</v>
      </c>
      <c r="E6" s="37">
        <f>BDbDT_calcs!E52</f>
        <v>13.615963294351141</v>
      </c>
      <c r="F6" s="37">
        <f>BDbDT_calcs!F52</f>
        <v>13.748826440254183</v>
      </c>
      <c r="G6" s="37">
        <f>BDbDT_calcs!G52</f>
        <v>13.883579339367952</v>
      </c>
      <c r="H6" s="37">
        <f>BDbDT_calcs!H52</f>
        <v>14.020413952570758</v>
      </c>
      <c r="I6" s="37">
        <f>BDbDT_calcs!I52</f>
        <v>14.180222785059765</v>
      </c>
      <c r="J6" s="37">
        <f>BDbDT_calcs!J52</f>
        <v>14.342665812602947</v>
      </c>
      <c r="K6" s="37">
        <f>BDbDT_calcs!K52</f>
        <v>14.539770990579047</v>
      </c>
      <c r="L6" s="37">
        <f>BDbDT_calcs!L52</f>
        <v>14.707049293561019</v>
      </c>
      <c r="M6" s="37">
        <f>BDbDT_calcs!M52</f>
        <v>14.876810048992642</v>
      </c>
      <c r="N6" s="37">
        <f>BDbDT_calcs!N52</f>
        <v>15.049157226594961</v>
      </c>
      <c r="O6" s="37">
        <f>BDbDT_calcs!O52</f>
        <v>15.22419827288565</v>
      </c>
      <c r="P6" s="37">
        <f>BDbDT_calcs!P52</f>
        <v>15.385228098350492</v>
      </c>
      <c r="Q6" s="37">
        <f>BDbDT_calcs!Q52</f>
        <v>15.56577696408398</v>
      </c>
      <c r="R6" s="37">
        <f>BDbDT_calcs!R52</f>
        <v>15.715124055553506</v>
      </c>
      <c r="S6" s="37">
        <f>BDbDT_calcs!S52</f>
        <v>15.879482598666437</v>
      </c>
      <c r="T6" s="37">
        <f>BDbDT_calcs!T52</f>
        <v>16.063771067342643</v>
      </c>
      <c r="U6" s="37">
        <f>BDbDT_calcs!U52</f>
        <v>16.216052700799402</v>
      </c>
      <c r="V6" s="37">
        <f>BDbDT_calcs!V52</f>
        <v>16.388079509915016</v>
      </c>
      <c r="W6" s="37">
        <f>BDbDT_calcs!W52</f>
        <v>16.562402646467532</v>
      </c>
      <c r="X6" s="37">
        <f>BDbDT_calcs!X52</f>
        <v>16.721041417536377</v>
      </c>
      <c r="Y6" s="37">
        <f>BDbDT_calcs!Y52</f>
        <v>16.91731987467379</v>
      </c>
      <c r="Z6" s="37">
        <f>BDbDT_calcs!Z52</f>
        <v>17.079564718544834</v>
      </c>
      <c r="AA6" s="37">
        <f>BDbDT_calcs!AA52</f>
        <v>17.243196731925167</v>
      </c>
      <c r="AB6" s="37">
        <f>BDbDT_calcs!AB52</f>
        <v>17.408017049740128</v>
      </c>
    </row>
    <row r="7" spans="1:28" x14ac:dyDescent="0.25">
      <c r="A7" s="4" t="s">
        <v>220</v>
      </c>
      <c r="B7" s="37">
        <f>BDbDT_calcs!B53</f>
        <v>24.542396645244196</v>
      </c>
      <c r="C7" s="37">
        <f>BDbDT_calcs!C53</f>
        <v>24.857174148994094</v>
      </c>
      <c r="D7" s="37">
        <f>BDbDT_calcs!D53</f>
        <v>25.145562196540439</v>
      </c>
      <c r="E7" s="37">
        <f>BDbDT_calcs!E53</f>
        <v>25.470207857427866</v>
      </c>
      <c r="F7" s="37">
        <f>BDbDT_calcs!F53</f>
        <v>25.782506850163994</v>
      </c>
      <c r="G7" s="37">
        <f>BDbDT_calcs!G53</f>
        <v>26.065863129229662</v>
      </c>
      <c r="H7" s="37">
        <f>BDbDT_calcs!H53</f>
        <v>26.420080237890659</v>
      </c>
      <c r="I7" s="37">
        <f>BDbDT_calcs!I53</f>
        <v>26.75167244209857</v>
      </c>
      <c r="J7" s="37">
        <f>BDbDT_calcs!J53</f>
        <v>27.10553780149667</v>
      </c>
      <c r="K7" s="37">
        <f>BDbDT_calcs!K53</f>
        <v>27.413278427957362</v>
      </c>
      <c r="L7" s="37">
        <f>BDbDT_calcs!L53</f>
        <v>27.742563456213155</v>
      </c>
      <c r="M7" s="37">
        <f>BDbDT_calcs!M53</f>
        <v>28.024987040706478</v>
      </c>
      <c r="N7" s="37">
        <f>BDbDT_calcs!N53</f>
        <v>28.346488504330413</v>
      </c>
      <c r="O7" s="37">
        <f>BDbDT_calcs!O53</f>
        <v>28.638030660400926</v>
      </c>
      <c r="P7" s="37">
        <f>BDbDT_calcs!P53</f>
        <v>28.899020976844554</v>
      </c>
      <c r="Q7" s="37">
        <f>BDbDT_calcs!Q53</f>
        <v>29.128785234068161</v>
      </c>
      <c r="R7" s="37">
        <f>BDbDT_calcs!R53</f>
        <v>29.362353430255865</v>
      </c>
      <c r="S7" s="37">
        <f>BDbDT_calcs!S53</f>
        <v>29.573217966407324</v>
      </c>
      <c r="T7" s="37">
        <f>BDbDT_calcs!T53</f>
        <v>29.715052785263417</v>
      </c>
      <c r="U7" s="37">
        <f>BDbDT_calcs!U53</f>
        <v>29.895758867409061</v>
      </c>
      <c r="V7" s="37">
        <f>BDbDT_calcs!V53</f>
        <v>30.042229329133903</v>
      </c>
      <c r="W7" s="37">
        <f>BDbDT_calcs!W53</f>
        <v>30.190406778749754</v>
      </c>
      <c r="X7" s="37">
        <f>BDbDT_calcs!X53</f>
        <v>30.377294254923299</v>
      </c>
      <c r="Y7" s="37">
        <f>BDbDT_calcs!Y53</f>
        <v>30.509402304081966</v>
      </c>
      <c r="Z7" s="37">
        <f>BDbDT_calcs!Z53</f>
        <v>30.698888749008866</v>
      </c>
      <c r="AA7" s="37">
        <f>BDbDT_calcs!AA53</f>
        <v>30.832032212808432</v>
      </c>
      <c r="AB7" s="37">
        <f>BDbDT_calcs!AB53</f>
        <v>31.022653697117775</v>
      </c>
    </row>
    <row r="8" spans="1:28" x14ac:dyDescent="0.25">
      <c r="A8" s="4" t="s">
        <v>221</v>
      </c>
      <c r="B8" s="37">
        <f>BDbDT_calcs!B54</f>
        <v>58.214755952545659</v>
      </c>
      <c r="C8" s="37">
        <f>BDbDT_calcs!C54</f>
        <v>58.704281636594338</v>
      </c>
      <c r="D8" s="37">
        <f>BDbDT_calcs!D54</f>
        <v>59.275331684245863</v>
      </c>
      <c r="E8" s="37">
        <f>BDbDT_calcs!E54</f>
        <v>59.868800293411532</v>
      </c>
      <c r="F8" s="37">
        <f>BDbDT_calcs!F54</f>
        <v>60.516618244096669</v>
      </c>
      <c r="G8" s="37">
        <f>BDbDT_calcs!G54</f>
        <v>61.111271268858196</v>
      </c>
      <c r="H8" s="37">
        <f>BDbDT_calcs!H54</f>
        <v>61.699487090262373</v>
      </c>
      <c r="I8" s="37">
        <f>BDbDT_calcs!I54</f>
        <v>62.372912805679263</v>
      </c>
      <c r="J8" s="37">
        <f>BDbDT_calcs!J54</f>
        <v>63.02585474367504</v>
      </c>
      <c r="K8" s="37">
        <f>BDbDT_calcs!K54</f>
        <v>63.655923719952533</v>
      </c>
      <c r="L8" s="37">
        <f>BDbDT_calcs!L54</f>
        <v>64.246908200948027</v>
      </c>
      <c r="M8" s="37">
        <f>BDbDT_calcs!M54</f>
        <v>64.798259804939235</v>
      </c>
      <c r="N8" s="37">
        <f>BDbDT_calcs!N54</f>
        <v>65.309348219128381</v>
      </c>
      <c r="O8" s="37">
        <f>BDbDT_calcs!O54</f>
        <v>65.779521064429474</v>
      </c>
      <c r="P8" s="37">
        <f>BDbDT_calcs!P54</f>
        <v>66.158458481704784</v>
      </c>
      <c r="Q8" s="37">
        <f>BDbDT_calcs!Q54</f>
        <v>66.49405936626971</v>
      </c>
      <c r="R8" s="37">
        <f>BDbDT_calcs!R54</f>
        <v>66.734968761192889</v>
      </c>
      <c r="S8" s="37">
        <f>BDbDT_calcs!S54</f>
        <v>66.9609668961523</v>
      </c>
      <c r="T8" s="37">
        <f>BDbDT_calcs!T54</f>
        <v>67.123301572240592</v>
      </c>
      <c r="U8" s="37">
        <f>BDbDT_calcs!U54</f>
        <v>67.220053860565685</v>
      </c>
      <c r="V8" s="37">
        <f>BDbDT_calcs!V54</f>
        <v>67.318050065379182</v>
      </c>
      <c r="W8" s="37">
        <f>BDbDT_calcs!W54</f>
        <v>67.329538223847891</v>
      </c>
      <c r="X8" s="37">
        <f>BDbDT_calcs!X54</f>
        <v>67.426846902481074</v>
      </c>
      <c r="Y8" s="37">
        <f>BDbDT_calcs!Y54</f>
        <v>67.505510408798642</v>
      </c>
      <c r="Z8" s="37">
        <f>BDbDT_calcs!Z54</f>
        <v>67.582070582736847</v>
      </c>
      <c r="AA8" s="37">
        <f>BDbDT_calcs!AA54</f>
        <v>67.673569979505544</v>
      </c>
      <c r="AB8" s="37">
        <f>BDbDT_calcs!AB54</f>
        <v>67.797590267162704</v>
      </c>
    </row>
    <row r="9" spans="1:28" x14ac:dyDescent="0.25">
      <c r="A9" s="4" t="s">
        <v>222</v>
      </c>
      <c r="B9" s="37">
        <f>BDbDT_calcs!B55</f>
        <v>109.02396217336624</v>
      </c>
      <c r="C9" s="37">
        <f>BDbDT_calcs!C55</f>
        <v>108.41277183906897</v>
      </c>
      <c r="D9" s="37">
        <f>BDbDT_calcs!D55</f>
        <v>107.85632118595129</v>
      </c>
      <c r="E9" s="37">
        <f>BDbDT_calcs!E55</f>
        <v>107.27957978008978</v>
      </c>
      <c r="F9" s="37">
        <f>BDbDT_calcs!F55</f>
        <v>106.64081878621069</v>
      </c>
      <c r="G9" s="37">
        <f>BDbDT_calcs!G55</f>
        <v>106.01649129976568</v>
      </c>
      <c r="H9" s="37">
        <f>BDbDT_calcs!H55</f>
        <v>105.37349200209276</v>
      </c>
      <c r="I9" s="37">
        <f>BDbDT_calcs!I55</f>
        <v>104.87419428128163</v>
      </c>
      <c r="J9" s="37">
        <f>BDbDT_calcs!J55</f>
        <v>104.35375744980117</v>
      </c>
      <c r="K9" s="37">
        <f>BDbDT_calcs!K55</f>
        <v>103.79962534379504</v>
      </c>
      <c r="L9" s="37">
        <f>BDbDT_calcs!L55</f>
        <v>103.22928017278031</v>
      </c>
      <c r="M9" s="37">
        <f>BDbDT_calcs!M55</f>
        <v>102.6339092428846</v>
      </c>
      <c r="N9" s="37">
        <f>BDbDT_calcs!N55</f>
        <v>102.03119827481966</v>
      </c>
      <c r="O9" s="37">
        <f>BDbDT_calcs!O55</f>
        <v>101.38518132604894</v>
      </c>
      <c r="P9" s="37">
        <f>BDbDT_calcs!P55</f>
        <v>100.72231740941936</v>
      </c>
      <c r="Q9" s="37">
        <f>BDbDT_calcs!Q55</f>
        <v>100.04215008434424</v>
      </c>
      <c r="R9" s="37">
        <f>BDbDT_calcs!R55</f>
        <v>99.353308822044497</v>
      </c>
      <c r="S9" s="37">
        <f>BDbDT_calcs!S55</f>
        <v>98.599064889185954</v>
      </c>
      <c r="T9" s="37">
        <f>BDbDT_calcs!T55</f>
        <v>97.854212795370273</v>
      </c>
      <c r="U9" s="37">
        <f>BDbDT_calcs!U55</f>
        <v>97.137003493778195</v>
      </c>
      <c r="V9" s="37">
        <f>BDbDT_calcs!V55</f>
        <v>96.427959362926671</v>
      </c>
      <c r="W9" s="37">
        <f>BDbDT_calcs!W55</f>
        <v>95.77387552460273</v>
      </c>
      <c r="X9" s="37">
        <f>BDbDT_calcs!X55</f>
        <v>95.126600080188908</v>
      </c>
      <c r="Y9" s="37">
        <f>BDbDT_calcs!Y55</f>
        <v>94.514737270099033</v>
      </c>
      <c r="Z9" s="37">
        <f>BDbDT_calcs!Z55</f>
        <v>93.928251742211629</v>
      </c>
      <c r="AA9" s="37">
        <f>BDbDT_calcs!AA55</f>
        <v>93.356835204147373</v>
      </c>
      <c r="AB9" s="37">
        <f>BDbDT_calcs!AB55</f>
        <v>92.809792070922242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14646.009104378152</v>
      </c>
      <c r="C2" s="37">
        <f>BDbDT_calcs!C58</f>
        <v>14975.804901009411</v>
      </c>
      <c r="D2" s="37">
        <f>BDbDT_calcs!D58</f>
        <v>15318.267209153046</v>
      </c>
      <c r="E2" s="37">
        <f>BDbDT_calcs!E58</f>
        <v>15663.432215594108</v>
      </c>
      <c r="F2" s="37">
        <f>BDbDT_calcs!F58</f>
        <v>16012.644000907907</v>
      </c>
      <c r="G2" s="37">
        <f>BDbDT_calcs!G58</f>
        <v>16366.396121760341</v>
      </c>
      <c r="H2" s="37">
        <f>BDbDT_calcs!H58</f>
        <v>16723.589761795218</v>
      </c>
      <c r="I2" s="37">
        <f>BDbDT_calcs!I58</f>
        <v>17108.192985049056</v>
      </c>
      <c r="J2" s="37">
        <f>BDbDT_calcs!J58</f>
        <v>17493.48497235847</v>
      </c>
      <c r="K2" s="37">
        <f>BDbDT_calcs!K58</f>
        <v>17879.092218486236</v>
      </c>
      <c r="L2" s="37">
        <f>BDbDT_calcs!L58</f>
        <v>18263.417976955534</v>
      </c>
      <c r="M2" s="37">
        <f>BDbDT_calcs!M58</f>
        <v>18646.046972783883</v>
      </c>
      <c r="N2" s="37">
        <f>BDbDT_calcs!N58</f>
        <v>19024.944874873756</v>
      </c>
      <c r="O2" s="37">
        <f>BDbDT_calcs!O58</f>
        <v>19399.231725644458</v>
      </c>
      <c r="P2" s="37">
        <f>BDbDT_calcs!P58</f>
        <v>19766.223897512395</v>
      </c>
      <c r="Q2" s="37">
        <f>BDbDT_calcs!Q58</f>
        <v>20125.283094009792</v>
      </c>
      <c r="R2" s="37">
        <f>BDbDT_calcs!R58</f>
        <v>20473.087389229844</v>
      </c>
      <c r="S2" s="37">
        <f>BDbDT_calcs!S58</f>
        <v>20803.523072050812</v>
      </c>
      <c r="T2" s="37">
        <f>BDbDT_calcs!T58</f>
        <v>21121.077807219102</v>
      </c>
      <c r="U2" s="37">
        <f>BDbDT_calcs!U58</f>
        <v>21426.513377371881</v>
      </c>
      <c r="V2" s="37">
        <f>BDbDT_calcs!V58</f>
        <v>21714.275664259199</v>
      </c>
      <c r="W2" s="37">
        <f>BDbDT_calcs!W58</f>
        <v>21985.152978124468</v>
      </c>
      <c r="X2" s="37">
        <f>BDbDT_calcs!X58</f>
        <v>22237.446501082653</v>
      </c>
      <c r="Y2" s="37">
        <f>BDbDT_calcs!Y58</f>
        <v>22479.889950340243</v>
      </c>
      <c r="Z2" s="37">
        <f>BDbDT_calcs!Z58</f>
        <v>22703.907131411728</v>
      </c>
      <c r="AA2" s="37">
        <f>BDbDT_calcs!AA58</f>
        <v>22910.400342321285</v>
      </c>
      <c r="AB2" s="37">
        <f>BDbDT_calcs!AB58</f>
        <v>23100.984793334032</v>
      </c>
    </row>
    <row r="3" spans="1:28" x14ac:dyDescent="0.25">
      <c r="A3" s="4" t="s">
        <v>216</v>
      </c>
      <c r="B3" s="37">
        <f>BDbDT_calcs!B59</f>
        <v>13359.710412399463</v>
      </c>
      <c r="C3" s="37">
        <f>BDbDT_calcs!C59</f>
        <v>13625.159639857144</v>
      </c>
      <c r="D3" s="37">
        <f>BDbDT_calcs!D59</f>
        <v>13902.800968447378</v>
      </c>
      <c r="E3" s="37">
        <f>BDbDT_calcs!E59</f>
        <v>14189.737644485896</v>
      </c>
      <c r="F3" s="37">
        <f>BDbDT_calcs!F59</f>
        <v>14490.130873156457</v>
      </c>
      <c r="G3" s="37">
        <f>BDbDT_calcs!G59</f>
        <v>14804.949670688951</v>
      </c>
      <c r="H3" s="37">
        <f>BDbDT_calcs!H59</f>
        <v>15135.782810190944</v>
      </c>
      <c r="I3" s="37">
        <f>BDbDT_calcs!I59</f>
        <v>15504.040588454664</v>
      </c>
      <c r="J3" s="37">
        <f>BDbDT_calcs!J59</f>
        <v>15887.283098504751</v>
      </c>
      <c r="K3" s="37">
        <f>BDbDT_calcs!K59</f>
        <v>16281.683775163317</v>
      </c>
      <c r="L3" s="37">
        <f>BDbDT_calcs!L59</f>
        <v>16687.075953707797</v>
      </c>
      <c r="M3" s="37">
        <f>BDbDT_calcs!M59</f>
        <v>17102.600599356203</v>
      </c>
      <c r="N3" s="37">
        <f>BDbDT_calcs!N59</f>
        <v>17524.721177466701</v>
      </c>
      <c r="O3" s="37">
        <f>BDbDT_calcs!O59</f>
        <v>17949.968049494808</v>
      </c>
      <c r="P3" s="37">
        <f>BDbDT_calcs!P59</f>
        <v>18377.533096389867</v>
      </c>
      <c r="Q3" s="37">
        <f>BDbDT_calcs!Q59</f>
        <v>18802.279196379041</v>
      </c>
      <c r="R3" s="37">
        <f>BDbDT_calcs!R59</f>
        <v>19222.612001163357</v>
      </c>
      <c r="S3" s="37">
        <f>BDbDT_calcs!S59</f>
        <v>19629.183953231375</v>
      </c>
      <c r="T3" s="37">
        <f>BDbDT_calcs!T59</f>
        <v>20025.832490794179</v>
      </c>
      <c r="U3" s="37">
        <f>BDbDT_calcs!U59</f>
        <v>20410.367549301067</v>
      </c>
      <c r="V3" s="37">
        <f>BDbDT_calcs!V59</f>
        <v>20777.753449475076</v>
      </c>
      <c r="W3" s="37">
        <f>BDbDT_calcs!W59</f>
        <v>21123.271976412696</v>
      </c>
      <c r="X3" s="37">
        <f>BDbDT_calcs!X59</f>
        <v>21447.439306009557</v>
      </c>
      <c r="Y3" s="37">
        <f>BDbDT_calcs!Y59</f>
        <v>21759.728634159426</v>
      </c>
      <c r="Z3" s="37">
        <f>BDbDT_calcs!Z59</f>
        <v>22050.33503983634</v>
      </c>
      <c r="AA3" s="37">
        <f>BDbDT_calcs!AA59</f>
        <v>22315.230664652419</v>
      </c>
      <c r="AB3" s="37">
        <f>BDbDT_calcs!AB59</f>
        <v>22554.107232796068</v>
      </c>
    </row>
    <row r="4" spans="1:28" x14ac:dyDescent="0.25">
      <c r="A4" s="4" t="s">
        <v>217</v>
      </c>
      <c r="B4" s="37">
        <f>BDbDT_calcs!B60</f>
        <v>21340.988967442583</v>
      </c>
      <c r="C4" s="37">
        <f>BDbDT_calcs!C60</f>
        <v>21789.755266867152</v>
      </c>
      <c r="D4" s="37">
        <f>BDbDT_calcs!D60</f>
        <v>22255.623704647511</v>
      </c>
      <c r="E4" s="37">
        <f>BDbDT_calcs!E60</f>
        <v>22728.526136258777</v>
      </c>
      <c r="F4" s="37">
        <f>BDbDT_calcs!F60</f>
        <v>23213.209545598176</v>
      </c>
      <c r="G4" s="37">
        <f>BDbDT_calcs!G60</f>
        <v>23709.924304881566</v>
      </c>
      <c r="H4" s="37">
        <f>BDbDT_calcs!H60</f>
        <v>24219.703918730895</v>
      </c>
      <c r="I4" s="37">
        <f>BDbDT_calcs!I60</f>
        <v>24776.488574823012</v>
      </c>
      <c r="J4" s="37">
        <f>BDbDT_calcs!J60</f>
        <v>25343.189460628921</v>
      </c>
      <c r="K4" s="37">
        <f>BDbDT_calcs!K60</f>
        <v>25915.412350233895</v>
      </c>
      <c r="L4" s="37">
        <f>BDbDT_calcs!L60</f>
        <v>26491.795060025783</v>
      </c>
      <c r="M4" s="37">
        <f>BDbDT_calcs!M60</f>
        <v>27071.293706073189</v>
      </c>
      <c r="N4" s="37">
        <f>BDbDT_calcs!N60</f>
        <v>27648.930482697233</v>
      </c>
      <c r="O4" s="37">
        <f>BDbDT_calcs!O60</f>
        <v>28221.794903638427</v>
      </c>
      <c r="P4" s="37">
        <f>BDbDT_calcs!P60</f>
        <v>28786.014388343803</v>
      </c>
      <c r="Q4" s="37">
        <f>BDbDT_calcs!Q60</f>
        <v>29337.392351902825</v>
      </c>
      <c r="R4" s="37">
        <f>BDbDT_calcs!R60</f>
        <v>29871.759956735626</v>
      </c>
      <c r="S4" s="37">
        <f>BDbDT_calcs!S60</f>
        <v>30377.311259661758</v>
      </c>
      <c r="T4" s="37">
        <f>BDbDT_calcs!T60</f>
        <v>30860.349994690117</v>
      </c>
      <c r="U4" s="37">
        <f>BDbDT_calcs!U60</f>
        <v>31320.158725332883</v>
      </c>
      <c r="V4" s="37">
        <f>BDbDT_calcs!V60</f>
        <v>31747.639597160494</v>
      </c>
      <c r="W4" s="37">
        <f>BDbDT_calcs!W60</f>
        <v>32139.478748373567</v>
      </c>
      <c r="X4" s="37">
        <f>BDbDT_calcs!X60</f>
        <v>32495.38682447491</v>
      </c>
      <c r="Y4" s="37">
        <f>BDbDT_calcs!Y60</f>
        <v>32831.114079688836</v>
      </c>
      <c r="Z4" s="37">
        <f>BDbDT_calcs!Z60</f>
        <v>33131.264276502399</v>
      </c>
      <c r="AA4" s="37">
        <f>BDbDT_calcs!AA60</f>
        <v>33392.829641636876</v>
      </c>
      <c r="AB4" s="37">
        <f>BDbDT_calcs!AB60</f>
        <v>33617.682360135543</v>
      </c>
    </row>
    <row r="5" spans="1:28" x14ac:dyDescent="0.25">
      <c r="A5" s="4" t="s">
        <v>218</v>
      </c>
      <c r="B5" s="37">
        <f>BDbDT_calcs!B61</f>
        <v>2826.2786155203225</v>
      </c>
      <c r="C5" s="37">
        <f>BDbDT_calcs!C61</f>
        <v>2881.0387596435885</v>
      </c>
      <c r="D5" s="37">
        <f>BDbDT_calcs!D61</f>
        <v>2938.4891463905742</v>
      </c>
      <c r="E5" s="37">
        <f>BDbDT_calcs!E61</f>
        <v>2996.7033259869622</v>
      </c>
      <c r="F5" s="37">
        <f>BDbDT_calcs!F61</f>
        <v>3056.6773422230394</v>
      </c>
      <c r="G5" s="37">
        <f>BDbDT_calcs!G61</f>
        <v>3118.5246007566984</v>
      </c>
      <c r="H5" s="37">
        <f>BDbDT_calcs!H61</f>
        <v>3182.2021284441721</v>
      </c>
      <c r="I5" s="37">
        <f>BDbDT_calcs!I61</f>
        <v>3252.6255493484095</v>
      </c>
      <c r="J5" s="37">
        <f>BDbDT_calcs!J61</f>
        <v>3325.0089211884992</v>
      </c>
      <c r="K5" s="37">
        <f>BDbDT_calcs!K61</f>
        <v>3399.1768029814293</v>
      </c>
      <c r="L5" s="37">
        <f>BDbDT_calcs!L61</f>
        <v>3475.1674934827829</v>
      </c>
      <c r="M5" s="37">
        <f>BDbDT_calcs!M61</f>
        <v>3552.8354004596526</v>
      </c>
      <c r="N5" s="37">
        <f>BDbDT_calcs!N61</f>
        <v>3632.3806589615233</v>
      </c>
      <c r="O5" s="37">
        <f>BDbDT_calcs!O61</f>
        <v>3712.910553856887</v>
      </c>
      <c r="P5" s="37">
        <f>BDbDT_calcs!P61</f>
        <v>3794.8479002305062</v>
      </c>
      <c r="Q5" s="37">
        <f>BDbDT_calcs!Q61</f>
        <v>3877.4361162198725</v>
      </c>
      <c r="R5" s="37">
        <f>BDbDT_calcs!R61</f>
        <v>3960.5826944443834</v>
      </c>
      <c r="S5" s="37">
        <f>BDbDT_calcs!S61</f>
        <v>4043.1383714985254</v>
      </c>
      <c r="T5" s="37">
        <f>BDbDT_calcs!T61</f>
        <v>4125.4472307343522</v>
      </c>
      <c r="U5" s="37">
        <f>BDbDT_calcs!U61</f>
        <v>4207.5452600017315</v>
      </c>
      <c r="V5" s="37">
        <f>BDbDT_calcs!V61</f>
        <v>4288.9102566378315</v>
      </c>
      <c r="W5" s="37">
        <f>BDbDT_calcs!W61</f>
        <v>4368.6988293716277</v>
      </c>
      <c r="X5" s="37">
        <f>BDbDT_calcs!X61</f>
        <v>4446.5525670100069</v>
      </c>
      <c r="Y5" s="37">
        <f>BDbDT_calcs!Y61</f>
        <v>4523.5327716735592</v>
      </c>
      <c r="Z5" s="37">
        <f>BDbDT_calcs!Z61</f>
        <v>4598.3375282322786</v>
      </c>
      <c r="AA5" s="37">
        <f>BDbDT_calcs!AA61</f>
        <v>4670.851155544643</v>
      </c>
      <c r="AB5" s="37">
        <f>BDbDT_calcs!AB61</f>
        <v>4740.5077727121879</v>
      </c>
    </row>
    <row r="6" spans="1:28" x14ac:dyDescent="0.25">
      <c r="A6" s="4" t="s">
        <v>219</v>
      </c>
      <c r="B6" s="37">
        <f>BDbDT_calcs!B62</f>
        <v>1877.8055080540157</v>
      </c>
      <c r="C6" s="37">
        <f>BDbDT_calcs!C62</f>
        <v>1930.140014057537</v>
      </c>
      <c r="D6" s="37">
        <f>BDbDT_calcs!D62</f>
        <v>1985.838680898396</v>
      </c>
      <c r="E6" s="37">
        <f>BDbDT_calcs!E62</f>
        <v>2045.067662606557</v>
      </c>
      <c r="F6" s="37">
        <f>BDbDT_calcs!F62</f>
        <v>2108.4885969883753</v>
      </c>
      <c r="G6" s="37">
        <f>BDbDT_calcs!G62</f>
        <v>2176.1365495571772</v>
      </c>
      <c r="H6" s="37">
        <f>BDbDT_calcs!H62</f>
        <v>2248.2360960207825</v>
      </c>
      <c r="I6" s="37">
        <f>BDbDT_calcs!I62</f>
        <v>2328.2902662833362</v>
      </c>
      <c r="J6" s="37">
        <f>BDbDT_calcs!J62</f>
        <v>2411.9502521853819</v>
      </c>
      <c r="K6" s="37">
        <f>BDbDT_calcs!K62</f>
        <v>2498.7982345213877</v>
      </c>
      <c r="L6" s="37">
        <f>BDbDT_calcs!L62</f>
        <v>2589.5343186219766</v>
      </c>
      <c r="M6" s="37">
        <f>BDbDT_calcs!M62</f>
        <v>2683.7272174458449</v>
      </c>
      <c r="N6" s="37">
        <f>BDbDT_calcs!N62</f>
        <v>2781.0975000575663</v>
      </c>
      <c r="O6" s="37">
        <f>BDbDT_calcs!O62</f>
        <v>2881.2087042465419</v>
      </c>
      <c r="P6" s="37">
        <f>BDbDT_calcs!P62</f>
        <v>2983.8440577511606</v>
      </c>
      <c r="Q6" s="37">
        <f>BDbDT_calcs!Q62</f>
        <v>3088.4701008704928</v>
      </c>
      <c r="R6" s="37">
        <f>BDbDT_calcs!R62</f>
        <v>3194.8233599228779</v>
      </c>
      <c r="S6" s="37">
        <f>BDbDT_calcs!S62</f>
        <v>3301.4216837997192</v>
      </c>
      <c r="T6" s="37">
        <f>BDbDT_calcs!T62</f>
        <v>3409.2198398056084</v>
      </c>
      <c r="U6" s="37">
        <f>BDbDT_calcs!U62</f>
        <v>3517.4725872348408</v>
      </c>
      <c r="V6" s="37">
        <f>BDbDT_calcs!V62</f>
        <v>3626.2749254749965</v>
      </c>
      <c r="W6" s="37">
        <f>BDbDT_calcs!W62</f>
        <v>3735.3609144739644</v>
      </c>
      <c r="X6" s="37">
        <f>BDbDT_calcs!X62</f>
        <v>3845.0203908840522</v>
      </c>
      <c r="Y6" s="37">
        <f>BDbDT_calcs!Y62</f>
        <v>3954.9751724400421</v>
      </c>
      <c r="Z6" s="37">
        <f>BDbDT_calcs!Z62</f>
        <v>4065.3159488963042</v>
      </c>
      <c r="AA6" s="37">
        <f>BDbDT_calcs!AA62</f>
        <v>4175.967216983503</v>
      </c>
      <c r="AB6" s="37">
        <f>BDbDT_calcs!AB62</f>
        <v>4286.5912078519195</v>
      </c>
    </row>
    <row r="7" spans="1:28" x14ac:dyDescent="0.25">
      <c r="A7" s="4" t="s">
        <v>220</v>
      </c>
      <c r="B7" s="37">
        <f>BDbDT_calcs!B63</f>
        <v>1082.1450821186627</v>
      </c>
      <c r="C7" s="37">
        <f>BDbDT_calcs!C63</f>
        <v>1110.7471293632482</v>
      </c>
      <c r="D7" s="37">
        <f>BDbDT_calcs!D63</f>
        <v>1141.4388197340691</v>
      </c>
      <c r="E7" s="37">
        <f>BDbDT_calcs!E63</f>
        <v>1174.5816782570953</v>
      </c>
      <c r="F7" s="37">
        <f>BDbDT_calcs!F63</f>
        <v>1208.2665214723593</v>
      </c>
      <c r="G7" s="37">
        <f>BDbDT_calcs!G63</f>
        <v>1244.2348372036481</v>
      </c>
      <c r="H7" s="37">
        <f>BDbDT_calcs!H63</f>
        <v>1281.3905498480615</v>
      </c>
      <c r="I7" s="37">
        <f>BDbDT_calcs!I63</f>
        <v>1321.4319853891036</v>
      </c>
      <c r="J7" s="37">
        <f>BDbDT_calcs!J63</f>
        <v>1362.5894744162965</v>
      </c>
      <c r="K7" s="37">
        <f>BDbDT_calcs!K63</f>
        <v>1406.3590029240979</v>
      </c>
      <c r="L7" s="37">
        <f>BDbDT_calcs!L63</f>
        <v>1451.4326948958924</v>
      </c>
      <c r="M7" s="37">
        <f>BDbDT_calcs!M63</f>
        <v>1498.2761687067175</v>
      </c>
      <c r="N7" s="37">
        <f>BDbDT_calcs!N63</f>
        <v>1546.2557880643424</v>
      </c>
      <c r="O7" s="37">
        <f>BDbDT_calcs!O63</f>
        <v>1595.5074357299238</v>
      </c>
      <c r="P7" s="37">
        <f>BDbDT_calcs!P63</f>
        <v>1646.4688560929558</v>
      </c>
      <c r="Q7" s="37">
        <f>BDbDT_calcs!Q63</f>
        <v>1698.9483804528529</v>
      </c>
      <c r="R7" s="37">
        <f>BDbDT_calcs!R63</f>
        <v>1752.6392338933053</v>
      </c>
      <c r="S7" s="37">
        <f>BDbDT_calcs!S63</f>
        <v>1806.5057744729315</v>
      </c>
      <c r="T7" s="37">
        <f>BDbDT_calcs!T63</f>
        <v>1861.5446529669141</v>
      </c>
      <c r="U7" s="37">
        <f>BDbDT_calcs!U63</f>
        <v>1917.2756848218573</v>
      </c>
      <c r="V7" s="37">
        <f>BDbDT_calcs!V63</f>
        <v>1973.1412238549051</v>
      </c>
      <c r="W7" s="37">
        <f>BDbDT_calcs!W63</f>
        <v>2030.3419448227376</v>
      </c>
      <c r="X7" s="37">
        <f>BDbDT_calcs!X63</f>
        <v>2087.9065366764903</v>
      </c>
      <c r="Y7" s="37">
        <f>BDbDT_calcs!Y63</f>
        <v>2146.423971352323</v>
      </c>
      <c r="Z7" s="37">
        <f>BDbDT_calcs!Z63</f>
        <v>2205.0676167455158</v>
      </c>
      <c r="AA7" s="37">
        <f>BDbDT_calcs!AA63</f>
        <v>2264.1485662892851</v>
      </c>
      <c r="AB7" s="37">
        <f>BDbDT_calcs!AB63</f>
        <v>2324.0047521488477</v>
      </c>
    </row>
    <row r="8" spans="1:28" x14ac:dyDescent="0.25">
      <c r="A8" s="4" t="s">
        <v>221</v>
      </c>
      <c r="B8" s="37">
        <f>BDbDT_calcs!B64</f>
        <v>3790.4004988732472</v>
      </c>
      <c r="C8" s="37">
        <f>BDbDT_calcs!C64</f>
        <v>3940.6447638706263</v>
      </c>
      <c r="D8" s="37">
        <f>BDbDT_calcs!D64</f>
        <v>4097.982847023075</v>
      </c>
      <c r="E8" s="37">
        <f>BDbDT_calcs!E64</f>
        <v>4260.2170900109331</v>
      </c>
      <c r="F8" s="37">
        <f>BDbDT_calcs!F64</f>
        <v>4427.4644050856614</v>
      </c>
      <c r="G8" s="37">
        <f>BDbDT_calcs!G64</f>
        <v>4600.3396844546878</v>
      </c>
      <c r="H8" s="37">
        <f>BDbDT_calcs!H64</f>
        <v>4780.4375316522919</v>
      </c>
      <c r="I8" s="37">
        <f>BDbDT_calcs!I64</f>
        <v>4975.1792420659131</v>
      </c>
      <c r="J8" s="37">
        <f>BDbDT_calcs!J64</f>
        <v>5176.5741976055988</v>
      </c>
      <c r="K8" s="37">
        <f>BDbDT_calcs!K64</f>
        <v>5385.9320102525726</v>
      </c>
      <c r="L8" s="37">
        <f>BDbDT_calcs!L64</f>
        <v>5604.3146324674044</v>
      </c>
      <c r="M8" s="37">
        <f>BDbDT_calcs!M64</f>
        <v>5830.5015023138403</v>
      </c>
      <c r="N8" s="37">
        <f>BDbDT_calcs!N64</f>
        <v>6066.1491462920412</v>
      </c>
      <c r="O8" s="37">
        <f>BDbDT_calcs!O64</f>
        <v>6310.4060813506749</v>
      </c>
      <c r="P8" s="37">
        <f>BDbDT_calcs!P64</f>
        <v>6563.1338279419833</v>
      </c>
      <c r="Q8" s="37">
        <f>BDbDT_calcs!Q64</f>
        <v>6824.7598899807626</v>
      </c>
      <c r="R8" s="37">
        <f>BDbDT_calcs!R64</f>
        <v>7094.0394938816708</v>
      </c>
      <c r="S8" s="37">
        <f>BDbDT_calcs!S64</f>
        <v>7368.9480392736932</v>
      </c>
      <c r="T8" s="37">
        <f>BDbDT_calcs!T64</f>
        <v>7651.4441575844012</v>
      </c>
      <c r="U8" s="37">
        <f>BDbDT_calcs!U64</f>
        <v>7941.1140387173773</v>
      </c>
      <c r="V8" s="37">
        <f>BDbDT_calcs!V64</f>
        <v>8236.9786237777462</v>
      </c>
      <c r="W8" s="37">
        <f>BDbDT_calcs!W64</f>
        <v>8537.9521761787219</v>
      </c>
      <c r="X8" s="37">
        <f>BDbDT_calcs!X64</f>
        <v>8845.1063170676516</v>
      </c>
      <c r="Y8" s="37">
        <f>BDbDT_calcs!Y64</f>
        <v>9156.7007980620619</v>
      </c>
      <c r="Z8" s="37">
        <f>BDbDT_calcs!Z64</f>
        <v>9472.617281947385</v>
      </c>
      <c r="AA8" s="37">
        <f>BDbDT_calcs!AA64</f>
        <v>9790.7126862463847</v>
      </c>
      <c r="AB8" s="37">
        <f>BDbDT_calcs!AB64</f>
        <v>10110.662935342274</v>
      </c>
    </row>
    <row r="9" spans="1:28" x14ac:dyDescent="0.25">
      <c r="A9" s="4" t="s">
        <v>222</v>
      </c>
      <c r="B9" s="37">
        <f>BDbDT_calcs!B65</f>
        <v>22053.010826753132</v>
      </c>
      <c r="C9" s="37">
        <f>BDbDT_calcs!C65</f>
        <v>22482.921328150504</v>
      </c>
      <c r="D9" s="37">
        <f>BDbDT_calcs!D65</f>
        <v>22930.363297490665</v>
      </c>
      <c r="E9" s="37">
        <f>BDbDT_calcs!E65</f>
        <v>23385.544164789149</v>
      </c>
      <c r="F9" s="37">
        <f>BDbDT_calcs!F65</f>
        <v>23853.184011785641</v>
      </c>
      <c r="G9" s="37">
        <f>BDbDT_calcs!G65</f>
        <v>24334.212084238756</v>
      </c>
      <c r="H9" s="37">
        <f>BDbDT_calcs!H65</f>
        <v>24828.208040182599</v>
      </c>
      <c r="I9" s="37">
        <f>BDbDT_calcs!I65</f>
        <v>25370.194801749247</v>
      </c>
      <c r="J9" s="37">
        <f>BDbDT_calcs!J65</f>
        <v>25922.222467654203</v>
      </c>
      <c r="K9" s="37">
        <f>BDbDT_calcs!K65</f>
        <v>26479.903679346888</v>
      </c>
      <c r="L9" s="37">
        <f>BDbDT_calcs!L65</f>
        <v>27041.151519150852</v>
      </c>
      <c r="M9" s="37">
        <f>BDbDT_calcs!M65</f>
        <v>27605.532767346049</v>
      </c>
      <c r="N9" s="37">
        <f>BDbDT_calcs!N65</f>
        <v>28167.311868490629</v>
      </c>
      <c r="O9" s="37">
        <f>BDbDT_calcs!O65</f>
        <v>28723.172603657411</v>
      </c>
      <c r="P9" s="37">
        <f>BDbDT_calcs!P65</f>
        <v>29270.20355251521</v>
      </c>
      <c r="Q9" s="37">
        <f>BDbDT_calcs!Q65</f>
        <v>29803.130559985242</v>
      </c>
      <c r="R9" s="37">
        <f>BDbDT_calcs!R65</f>
        <v>30318.420341705729</v>
      </c>
      <c r="S9" s="37">
        <f>BDbDT_calcs!S65</f>
        <v>30803.810043306839</v>
      </c>
      <c r="T9" s="37">
        <f>BDbDT_calcs!T65</f>
        <v>31265.394103260474</v>
      </c>
      <c r="U9" s="37">
        <f>BDbDT_calcs!U65</f>
        <v>31702.130492372344</v>
      </c>
      <c r="V9" s="37">
        <f>BDbDT_calcs!V65</f>
        <v>32105.430814619136</v>
      </c>
      <c r="W9" s="37">
        <f>BDbDT_calcs!W65</f>
        <v>32472.432357896658</v>
      </c>
      <c r="X9" s="37">
        <f>BDbDT_calcs!X65</f>
        <v>32801.553854210702</v>
      </c>
      <c r="Y9" s="37">
        <f>BDbDT_calcs!Y65</f>
        <v>33109.465767605579</v>
      </c>
      <c r="Z9" s="37">
        <f>BDbDT_calcs!Z65</f>
        <v>33380.363720253503</v>
      </c>
      <c r="AA9" s="37">
        <f>BDbDT_calcs!AA65</f>
        <v>33612.667889179822</v>
      </c>
      <c r="AB9" s="37">
        <f>BDbDT_calcs!AB65</f>
        <v>33807.659175688837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2026-08-17T20:29:12Z</dcterms:modified>
</cp:coreProperties>
</file>