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V\add-outputs\NoH\"/>
    </mc:Choice>
  </mc:AlternateContent>
  <xr:revisionPtr revIDLastSave="0" documentId="8_{494FA1ED-A9AD-450C-9A86-D31893560D95}"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J2" i="3"/>
  <c r="D2" i="3"/>
  <c r="Z2" i="3"/>
  <c r="O2" i="3"/>
  <c r="Q2" i="3"/>
  <c r="W2" i="3"/>
  <c r="E2" i="3"/>
  <c r="AA2" i="3"/>
  <c r="F2" i="3"/>
  <c r="AB2" i="3"/>
  <c r="B2" i="3"/>
  <c r="G2" i="3"/>
  <c r="AC2" i="3"/>
  <c r="P2" i="3"/>
  <c r="H2" i="3"/>
  <c r="AD2" i="3"/>
  <c r="AE2" i="3"/>
  <c r="S2" i="3"/>
  <c r="I2" i="3"/>
  <c r="R2" i="3"/>
  <c r="U2" i="3"/>
  <c r="V2" i="3"/>
  <c r="K2" i="3"/>
  <c r="L2" i="3"/>
  <c r="M2" i="3"/>
  <c r="N2" i="3"/>
  <c r="T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<sst xmlns="http://schemas.openxmlformats.org/spreadsheetml/2006/main" count="1069" uniqueCount="448">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</sst>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380</v>
      </c>
      <c r="C1" s="68">
        <v>46185</v>
      </c>
      <c r="H1" t="s">
        <v>324</v>
      </c>
      <c r="I1" t="s">
        <v>325</v>
      </c>
    </row>
    <row r="2" spans="1:9" x14ac:dyDescent="0.25">
      <c r="B2" t="str">
        <f>VLOOKUP(B1,H2:I52,2)</f>
        <v>NV</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1142622.6063051764</v>
      </c>
      <c r="C2">
        <f>SUMIFS('state calcs'!C62:C112,'state calcs'!$A$62:$A$112,About!$B$2)</f>
        <v>1166466.9886898836</v>
      </c>
      <c r="D2">
        <f>SUMIFS('state calcs'!D62:D112,'state calcs'!$A$62:$A$112,About!$B$2)</f>
        <v>1183499.3284175114</v>
      </c>
      <c r="E2">
        <f>SUMIFS('state calcs'!E62:E112,'state calcs'!$A$62:$A$112,About!$B$2)</f>
        <v>1200599.1934478793</v>
      </c>
      <c r="F2">
        <f>SUMIFS('state calcs'!F62:F112,'state calcs'!$A$62:$A$112,About!$B$2)</f>
        <v>1217998.1964851446</v>
      </c>
      <c r="G2">
        <f>SUMIFS('state calcs'!G62:G112,'state calcs'!$A$62:$A$112,About!$B$2)</f>
        <v>1235414.2058625675</v>
      </c>
      <c r="H2">
        <f>SUMIFS('state calcs'!H62:H112,'state calcs'!$A$62:$A$112,About!$B$2)</f>
        <v>1252934.7176217658</v>
      </c>
      <c r="I2">
        <f>SUMIFS('state calcs'!I62:I112,'state calcs'!$A$62:$A$112,About!$B$2)</f>
        <v>1270582.9832453304</v>
      </c>
      <c r="J2">
        <f>SUMIFS('state calcs'!J62:J112,'state calcs'!$A$62:$A$112,About!$B$2)</f>
        <v>1288189.258464305</v>
      </c>
      <c r="K2">
        <f>SUMIFS('state calcs'!K62:K112,'state calcs'!$A$62:$A$112,About!$B$2)</f>
        <v>1305543.9531313288</v>
      </c>
      <c r="L2">
        <f>SUMIFS('state calcs'!L62:L112,'state calcs'!$A$62:$A$112,About!$B$2)</f>
        <v>1325971.1050660892</v>
      </c>
      <c r="M2">
        <f>SUMIFS('state calcs'!M62:M112,'state calcs'!$A$62:$A$112,About!$B$2)</f>
        <v>1346406.9013177305</v>
      </c>
      <c r="N2">
        <f>SUMIFS('state calcs'!N62:N112,'state calcs'!$A$62:$A$112,About!$B$2)</f>
        <v>1366686.8021544104</v>
      </c>
      <c r="O2">
        <f>SUMIFS('state calcs'!O62:O112,'state calcs'!$A$62:$A$112,About!$B$2)</f>
        <v>1386704.2118253959</v>
      </c>
      <c r="P2">
        <f>SUMIFS('state calcs'!P62:P112,'state calcs'!$A$62:$A$112,About!$B$2)</f>
        <v>1406652.7854261042</v>
      </c>
      <c r="Q2">
        <f>SUMIFS('state calcs'!Q62:Q112,'state calcs'!$A$62:$A$112,About!$B$2)</f>
        <v>1426693.3098905659</v>
      </c>
      <c r="R2">
        <f>SUMIFS('state calcs'!R62:R112,'state calcs'!$A$62:$A$112,About!$B$2)</f>
        <v>1446740.0255563217</v>
      </c>
      <c r="S2">
        <f>SUMIFS('state calcs'!S62:S112,'state calcs'!$A$62:$A$112,About!$B$2)</f>
        <v>1466815.0287707569</v>
      </c>
      <c r="T2">
        <f>SUMIFS('state calcs'!T62:T112,'state calcs'!$A$62:$A$112,About!$B$2)</f>
        <v>1486882.9820898599</v>
      </c>
      <c r="U2">
        <f>SUMIFS('state calcs'!U62:U112,'state calcs'!$A$62:$A$112,About!$B$2)</f>
        <v>1507145.4769512</v>
      </c>
      <c r="V2">
        <f>SUMIFS('state calcs'!V62:V112,'state calcs'!$A$62:$A$112,About!$B$2)</f>
        <v>1528364.03444113</v>
      </c>
      <c r="W2">
        <f>SUMIFS('state calcs'!W62:W112,'state calcs'!$A$62:$A$112,About!$B$2)</f>
        <v>1549510.3166774628</v>
      </c>
      <c r="X2">
        <f>SUMIFS('state calcs'!X62:X112,'state calcs'!$A$62:$A$112,About!$B$2)</f>
        <v>1570664.4145111716</v>
      </c>
      <c r="Y2">
        <f>SUMIFS('state calcs'!Y62:Y112,'state calcs'!$A$62:$A$112,About!$B$2)</f>
        <v>1591832.1259129061</v>
      </c>
      <c r="Z2">
        <f>SUMIFS('state calcs'!Z62:Z112,'state calcs'!$A$62:$A$112,About!$B$2)</f>
        <v>1613022.7577211764</v>
      </c>
      <c r="AA2">
        <f>SUMIFS('state calcs'!AA62:AA112,'state calcs'!$A$62:$A$112,About!$B$2)</f>
        <v>1634193.6118415326</v>
      </c>
      <c r="AB2">
        <f>SUMIFS('state calcs'!AB62:AB112,'state calcs'!$A$62:$A$112,About!$B$2)</f>
        <v>1655411.4272843276</v>
      </c>
      <c r="AC2">
        <f>SUMIFS('state calcs'!AC62:AC112,'state calcs'!$A$62:$A$112,About!$B$2)</f>
        <v>1676596.7814404147</v>
      </c>
      <c r="AD2">
        <f>SUMIFS('state calcs'!AD62:AD112,'state calcs'!$A$62:$A$112,About!$B$2)</f>
        <v>1697735.2979358954</v>
      </c>
      <c r="AE2">
        <f>SUMIFS('state calcs'!AE62:AE112,'state calcs'!$A$62:$A$112,About!$B$2)</f>
        <v>1718857.6374713611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2026-06-12T19:29:30Z</dcterms:modified>
</cp:coreProperties>
</file>