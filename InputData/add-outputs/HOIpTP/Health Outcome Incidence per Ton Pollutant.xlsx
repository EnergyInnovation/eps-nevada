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V\add-outputs\HOIpTP\"/>
    </mc:Choice>
  </mc:AlternateContent>
  <xr:revisionPtr revIDLastSave="0" documentId="8_{2FF51AF9-8E3B-421B-8F3C-7A278DA1C84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AA17" i="19"/>
  <c r="Y17" i="19"/>
  <c r="V17" i="19"/>
  <c r="O17" i="19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AB15" i="19"/>
  <c r="W15" i="19"/>
  <c r="J15" i="19"/>
  <c r="B15" i="19"/>
  <c r="X15" i="19" s="1"/>
  <c r="AB14" i="19"/>
  <c r="V14" i="19"/>
  <c r="U14" i="19"/>
  <c r="T14" i="19"/>
  <c r="Q14" i="19"/>
  <c r="O14" i="19"/>
  <c r="L14" i="19"/>
  <c r="H14" i="19"/>
  <c r="B14" i="19"/>
  <c r="AA14" i="19" s="1"/>
  <c r="Y13" i="19"/>
  <c r="P13" i="19"/>
  <c r="O13" i="19"/>
  <c r="M13" i="19"/>
  <c r="L13" i="19"/>
  <c r="K13" i="19"/>
  <c r="E13" i="19"/>
  <c r="D13" i="19"/>
  <c r="C13" i="19"/>
  <c r="B13" i="19"/>
  <c r="J13" i="19" s="1"/>
  <c r="AA12" i="19"/>
  <c r="U12" i="19"/>
  <c r="Q12" i="19"/>
  <c r="H12" i="19"/>
  <c r="G12" i="19"/>
  <c r="F12" i="19"/>
  <c r="E12" i="19"/>
  <c r="C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P8" i="19"/>
  <c r="O8" i="19"/>
  <c r="N8" i="19"/>
  <c r="M8" i="19"/>
  <c r="J8" i="19"/>
  <c r="H8" i="19"/>
  <c r="G8" i="19"/>
  <c r="D8" i="19"/>
  <c r="B8" i="19"/>
  <c r="L8" i="19" s="1"/>
  <c r="B7" i="19"/>
  <c r="AA7" i="19" s="1"/>
  <c r="W6" i="19"/>
  <c r="R6" i="19"/>
  <c r="O6" i="19"/>
  <c r="N6" i="19"/>
  <c r="J6" i="19"/>
  <c r="H6" i="19"/>
  <c r="G6" i="19"/>
  <c r="E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B3" i="19"/>
  <c r="K3" i="19" s="1"/>
  <c r="B2" i="19"/>
  <c r="O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AB17" i="18"/>
  <c r="AA17" i="18"/>
  <c r="Y17" i="18"/>
  <c r="W17" i="18"/>
  <c r="U17" i="18"/>
  <c r="T17" i="18"/>
  <c r="S17" i="18"/>
  <c r="P17" i="18"/>
  <c r="N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J15" i="18"/>
  <c r="E15" i="18"/>
  <c r="C15" i="18"/>
  <c r="B15" i="18"/>
  <c r="AB14" i="18"/>
  <c r="X14" i="18"/>
  <c r="U14" i="18"/>
  <c r="B14" i="18"/>
  <c r="AA14" i="18" s="1"/>
  <c r="B13" i="18"/>
  <c r="Z12" i="18"/>
  <c r="Y12" i="18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B8" i="18"/>
  <c r="Y8" i="18"/>
  <c r="R8" i="18"/>
  <c r="F8" i="18"/>
  <c r="E8" i="18"/>
  <c r="B8" i="18"/>
  <c r="X8" i="18" s="1"/>
  <c r="AA7" i="18"/>
  <c r="H7" i="18"/>
  <c r="G7" i="18"/>
  <c r="B7" i="18"/>
  <c r="AA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V3" i="18"/>
  <c r="P3" i="18"/>
  <c r="N3" i="18"/>
  <c r="M3" i="18"/>
  <c r="K3" i="18"/>
  <c r="J3" i="18"/>
  <c r="H3" i="18"/>
  <c r="E3" i="18"/>
  <c r="D3" i="18"/>
  <c r="B3" i="18"/>
  <c r="Z3" i="18" s="1"/>
  <c r="Y2" i="18"/>
  <c r="V2" i="18"/>
  <c r="P2" i="18"/>
  <c r="O2" i="18"/>
  <c r="K2" i="18"/>
  <c r="J2" i="18"/>
  <c r="G2" i="18"/>
  <c r="F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A17" i="17"/>
  <c r="Y17" i="17"/>
  <c r="Q17" i="17"/>
  <c r="E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C14" i="17"/>
  <c r="B14" i="17"/>
  <c r="AA13" i="17"/>
  <c r="X13" i="17"/>
  <c r="W13" i="17"/>
  <c r="U13" i="17"/>
  <c r="S13" i="17"/>
  <c r="R13" i="17"/>
  <c r="Q13" i="17"/>
  <c r="D13" i="17"/>
  <c r="C13" i="17"/>
  <c r="B13" i="17"/>
  <c r="N13" i="17" s="1"/>
  <c r="Z12" i="17"/>
  <c r="Y12" i="17"/>
  <c r="T12" i="17"/>
  <c r="S12" i="17"/>
  <c r="R12" i="17"/>
  <c r="Q12" i="17"/>
  <c r="P12" i="17"/>
  <c r="O12" i="17"/>
  <c r="M12" i="17"/>
  <c r="J12" i="17"/>
  <c r="I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AA8" i="17"/>
  <c r="B8" i="17"/>
  <c r="D8" i="17" s="1"/>
  <c r="Z7" i="17"/>
  <c r="X7" i="17"/>
  <c r="W7" i="17"/>
  <c r="V7" i="17"/>
  <c r="U7" i="17"/>
  <c r="S7" i="17"/>
  <c r="P7" i="17"/>
  <c r="B7" i="17"/>
  <c r="Q6" i="17"/>
  <c r="M6" i="17"/>
  <c r="L6" i="17"/>
  <c r="G6" i="17"/>
  <c r="C6" i="17"/>
  <c r="B6" i="17"/>
  <c r="E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D17" i="16"/>
  <c r="B17" i="16"/>
  <c r="Z17" i="16" s="1"/>
  <c r="B16" i="16"/>
  <c r="K15" i="16"/>
  <c r="B15" i="16"/>
  <c r="AA15" i="16" s="1"/>
  <c r="B14" i="16"/>
  <c r="J13" i="16"/>
  <c r="D13" i="16"/>
  <c r="B13" i="16"/>
  <c r="W13" i="16" s="1"/>
  <c r="Y12" i="16"/>
  <c r="W12" i="16"/>
  <c r="I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V7" i="16"/>
  <c r="H7" i="16"/>
  <c r="G7" i="16"/>
  <c r="F7" i="16"/>
  <c r="B7" i="16"/>
  <c r="AB7" i="16" s="1"/>
  <c r="W6" i="16"/>
  <c r="V6" i="16"/>
  <c r="T6" i="16"/>
  <c r="Q6" i="16"/>
  <c r="N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Y2" i="16"/>
  <c r="X2" i="16"/>
  <c r="T2" i="16"/>
  <c r="Q2" i="16"/>
  <c r="P2" i="16"/>
  <c r="K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B15" i="15"/>
  <c r="S15" i="15" s="1"/>
  <c r="B14" i="15"/>
  <c r="AB13" i="15"/>
  <c r="W13" i="15"/>
  <c r="V13" i="15"/>
  <c r="T13" i="15"/>
  <c r="Q13" i="15"/>
  <c r="O13" i="15"/>
  <c r="N13" i="15"/>
  <c r="M13" i="15"/>
  <c r="L13" i="15"/>
  <c r="J13" i="15"/>
  <c r="B13" i="15"/>
  <c r="T12" i="15"/>
  <c r="S12" i="15"/>
  <c r="O12" i="15"/>
  <c r="N12" i="15"/>
  <c r="L12" i="15"/>
  <c r="B12" i="15"/>
  <c r="X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Y8" i="15"/>
  <c r="X8" i="15"/>
  <c r="N8" i="15"/>
  <c r="M8" i="15"/>
  <c r="L8" i="15"/>
  <c r="K8" i="15"/>
  <c r="J8" i="15"/>
  <c r="H8" i="15"/>
  <c r="B8" i="15"/>
  <c r="W7" i="15"/>
  <c r="V7" i="15"/>
  <c r="S7" i="15"/>
  <c r="R7" i="15"/>
  <c r="Q7" i="15"/>
  <c r="P7" i="15"/>
  <c r="O7" i="15"/>
  <c r="N7" i="15"/>
  <c r="M7" i="15"/>
  <c r="L7" i="15"/>
  <c r="K7" i="15"/>
  <c r="J7" i="15"/>
  <c r="H7" i="15"/>
  <c r="F7" i="15"/>
  <c r="B7" i="15"/>
  <c r="X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W3" i="15"/>
  <c r="U3" i="15"/>
  <c r="I3" i="15"/>
  <c r="F3" i="15"/>
  <c r="B3" i="15"/>
  <c r="AA2" i="15"/>
  <c r="Z2" i="15"/>
  <c r="Y2" i="15"/>
  <c r="S2" i="15"/>
  <c r="P2" i="15"/>
  <c r="O2" i="15"/>
  <c r="N2" i="15"/>
  <c r="M2" i="15"/>
  <c r="L2" i="15"/>
  <c r="K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A15" i="14"/>
  <c r="Z15" i="14"/>
  <c r="Y15" i="14"/>
  <c r="T15" i="14"/>
  <c r="S15" i="14"/>
  <c r="Q15" i="14"/>
  <c r="O15" i="14"/>
  <c r="B15" i="14"/>
  <c r="E15" i="14" s="1"/>
  <c r="B14" i="14"/>
  <c r="Y14" i="14" s="1"/>
  <c r="X13" i="14"/>
  <c r="R13" i="14"/>
  <c r="B13" i="14"/>
  <c r="G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W7" i="14"/>
  <c r="S7" i="14"/>
  <c r="P7" i="14"/>
  <c r="N7" i="14"/>
  <c r="M7" i="14"/>
  <c r="H7" i="14"/>
  <c r="G7" i="14"/>
  <c r="E7" i="14"/>
  <c r="D7" i="14"/>
  <c r="C7" i="14"/>
  <c r="B7" i="14"/>
  <c r="Y7" i="14" s="1"/>
  <c r="B6" i="14"/>
  <c r="G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N3" i="14"/>
  <c r="F3" i="14"/>
  <c r="D3" i="14"/>
  <c r="B3" i="14"/>
  <c r="Z3" i="14" s="1"/>
  <c r="B2" i="14"/>
  <c r="R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A15" i="13"/>
  <c r="Y15" i="13"/>
  <c r="V15" i="13"/>
  <c r="T15" i="13"/>
  <c r="S15" i="13"/>
  <c r="P15" i="13"/>
  <c r="O15" i="13"/>
  <c r="N15" i="13"/>
  <c r="M15" i="13"/>
  <c r="L15" i="13"/>
  <c r="K15" i="13"/>
  <c r="J15" i="13"/>
  <c r="I15" i="13"/>
  <c r="H15" i="13"/>
  <c r="G15" i="13"/>
  <c r="E15" i="13"/>
  <c r="C15" i="13"/>
  <c r="B15" i="13"/>
  <c r="X15" i="13" s="1"/>
  <c r="AA14" i="13"/>
  <c r="W14" i="13"/>
  <c r="V14" i="13"/>
  <c r="T14" i="13"/>
  <c r="Q14" i="13"/>
  <c r="P14" i="13"/>
  <c r="M14" i="13"/>
  <c r="L14" i="13"/>
  <c r="K14" i="13"/>
  <c r="J14" i="13"/>
  <c r="H14" i="13"/>
  <c r="F14" i="13"/>
  <c r="B14" i="13"/>
  <c r="X13" i="13"/>
  <c r="V13" i="13"/>
  <c r="T13" i="13"/>
  <c r="S13" i="13"/>
  <c r="R13" i="13"/>
  <c r="O13" i="13"/>
  <c r="N13" i="13"/>
  <c r="M13" i="13"/>
  <c r="K13" i="13"/>
  <c r="H13" i="13"/>
  <c r="G13" i="13"/>
  <c r="F13" i="13"/>
  <c r="B13" i="13"/>
  <c r="Y13" i="13" s="1"/>
  <c r="W12" i="13"/>
  <c r="U12" i="13"/>
  <c r="S12" i="13"/>
  <c r="R12" i="13"/>
  <c r="O12" i="13"/>
  <c r="L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G7" i="13"/>
  <c r="B7" i="13"/>
  <c r="U7" i="13" s="1"/>
  <c r="AA6" i="13"/>
  <c r="O6" i="13"/>
  <c r="M6" i="13"/>
  <c r="K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N3" i="13"/>
  <c r="M3" i="13"/>
  <c r="L3" i="13"/>
  <c r="K3" i="13"/>
  <c r="J3" i="13"/>
  <c r="I3" i="13"/>
  <c r="F3" i="13"/>
  <c r="E3" i="13"/>
  <c r="D3" i="13"/>
  <c r="C3" i="13"/>
  <c r="B3" i="13"/>
  <c r="AA3" i="13" s="1"/>
  <c r="AB2" i="13"/>
  <c r="Y2" i="13"/>
  <c r="X2" i="13"/>
  <c r="V2" i="13"/>
  <c r="R2" i="13"/>
  <c r="Q2" i="13"/>
  <c r="P2" i="13"/>
  <c r="M2" i="13"/>
  <c r="J2" i="13"/>
  <c r="I2" i="13"/>
  <c r="H2" i="13"/>
  <c r="G2" i="13"/>
  <c r="F2" i="13"/>
  <c r="E2" i="13"/>
  <c r="D2" i="13"/>
  <c r="C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G17" i="12" s="1"/>
  <c r="AB16" i="12"/>
  <c r="AA16" i="12"/>
  <c r="Z16" i="12"/>
  <c r="J16" i="12"/>
  <c r="C16" i="12"/>
  <c r="B16" i="12"/>
  <c r="Y15" i="12"/>
  <c r="W15" i="12"/>
  <c r="V15" i="12"/>
  <c r="Q15" i="12"/>
  <c r="P15" i="12"/>
  <c r="O15" i="12"/>
  <c r="N15" i="12"/>
  <c r="B15" i="12"/>
  <c r="F15" i="12" s="1"/>
  <c r="AB14" i="12"/>
  <c r="V14" i="12"/>
  <c r="R14" i="12"/>
  <c r="Q14" i="12"/>
  <c r="B14" i="12"/>
  <c r="L14" i="12" s="1"/>
  <c r="B13" i="12"/>
  <c r="AA12" i="12"/>
  <c r="Z12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W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Z8" i="12" s="1"/>
  <c r="Z7" i="12"/>
  <c r="X7" i="12"/>
  <c r="W7" i="12"/>
  <c r="V7" i="12"/>
  <c r="K7" i="12"/>
  <c r="J7" i="12"/>
  <c r="I7" i="12"/>
  <c r="F7" i="12"/>
  <c r="E7" i="12"/>
  <c r="D7" i="12"/>
  <c r="B7" i="12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N3" i="12"/>
  <c r="L3" i="12"/>
  <c r="B3" i="12"/>
  <c r="P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B14" i="11"/>
  <c r="AB14" i="11" s="1"/>
  <c r="AB13" i="11"/>
  <c r="AA13" i="11"/>
  <c r="Z13" i="11"/>
  <c r="Y13" i="11"/>
  <c r="X13" i="11"/>
  <c r="V13" i="11"/>
  <c r="U13" i="11"/>
  <c r="R13" i="11"/>
  <c r="M13" i="11"/>
  <c r="L13" i="11"/>
  <c r="K13" i="11"/>
  <c r="B13" i="11"/>
  <c r="Q13" i="11" s="1"/>
  <c r="AB12" i="11"/>
  <c r="Z12" i="11"/>
  <c r="Y12" i="11"/>
  <c r="X12" i="11"/>
  <c r="U12" i="11"/>
  <c r="O12" i="11"/>
  <c r="M12" i="11"/>
  <c r="L12" i="11"/>
  <c r="K12" i="11"/>
  <c r="J12" i="11"/>
  <c r="G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Q8" i="11"/>
  <c r="P8" i="11"/>
  <c r="J8" i="11"/>
  <c r="I8" i="11"/>
  <c r="E8" i="11"/>
  <c r="B8" i="11"/>
  <c r="C8" i="11" s="1"/>
  <c r="AA7" i="11"/>
  <c r="Z7" i="11"/>
  <c r="X7" i="11"/>
  <c r="V7" i="11"/>
  <c r="U7" i="11"/>
  <c r="T7" i="11"/>
  <c r="P7" i="11"/>
  <c r="O7" i="11"/>
  <c r="N7" i="11"/>
  <c r="M7" i="11"/>
  <c r="L7" i="11"/>
  <c r="K7" i="11"/>
  <c r="J7" i="11"/>
  <c r="I7" i="11"/>
  <c r="H7" i="11"/>
  <c r="G7" i="11"/>
  <c r="F7" i="11"/>
  <c r="E7" i="11"/>
  <c r="C7" i="11"/>
  <c r="B7" i="11"/>
  <c r="T6" i="11"/>
  <c r="R6" i="11"/>
  <c r="Q6" i="11"/>
  <c r="L6" i="11"/>
  <c r="K6" i="11"/>
  <c r="J6" i="11"/>
  <c r="I6" i="11"/>
  <c r="G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L3" i="11"/>
  <c r="K3" i="11"/>
  <c r="J3" i="11"/>
  <c r="I3" i="11"/>
  <c r="H3" i="11"/>
  <c r="E3" i="11"/>
  <c r="B3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Y15" i="10"/>
  <c r="W15" i="10"/>
  <c r="V15" i="10"/>
  <c r="B15" i="10"/>
  <c r="O15" i="10" s="1"/>
  <c r="AA14" i="10"/>
  <c r="Z14" i="10"/>
  <c r="Y14" i="10"/>
  <c r="W14" i="10"/>
  <c r="V14" i="10"/>
  <c r="U14" i="10"/>
  <c r="T14" i="10"/>
  <c r="S14" i="10"/>
  <c r="R14" i="10"/>
  <c r="Q14" i="10"/>
  <c r="P14" i="10"/>
  <c r="O14" i="10"/>
  <c r="N14" i="10"/>
  <c r="L14" i="10"/>
  <c r="K14" i="10"/>
  <c r="J14" i="10"/>
  <c r="G14" i="10"/>
  <c r="F14" i="10"/>
  <c r="E14" i="10"/>
  <c r="D14" i="10"/>
  <c r="C14" i="10"/>
  <c r="B14" i="10"/>
  <c r="Z13" i="10"/>
  <c r="Y13" i="10"/>
  <c r="P13" i="10"/>
  <c r="M13" i="10"/>
  <c r="H13" i="10"/>
  <c r="F13" i="10"/>
  <c r="D13" i="10"/>
  <c r="B13" i="10"/>
  <c r="AA13" i="10" s="1"/>
  <c r="B12" i="10"/>
  <c r="C11" i="10"/>
  <c r="B11" i="10"/>
  <c r="B10" i="10"/>
  <c r="B9" i="10"/>
  <c r="N8" i="10"/>
  <c r="K8" i="10"/>
  <c r="I8" i="10"/>
  <c r="B8" i="10"/>
  <c r="Q8" i="10" s="1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B2" i="10"/>
  <c r="G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P17" i="9"/>
  <c r="O17" i="9"/>
  <c r="M17" i="9"/>
  <c r="K17" i="9"/>
  <c r="J17" i="9"/>
  <c r="F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Z14" i="9"/>
  <c r="Y14" i="9"/>
  <c r="W14" i="9"/>
  <c r="V14" i="9"/>
  <c r="U14" i="9"/>
  <c r="T14" i="9"/>
  <c r="S14" i="9"/>
  <c r="R14" i="9"/>
  <c r="O14" i="9"/>
  <c r="N14" i="9"/>
  <c r="L14" i="9"/>
  <c r="K14" i="9"/>
  <c r="J14" i="9"/>
  <c r="G14" i="9"/>
  <c r="C14" i="9"/>
  <c r="B14" i="9"/>
  <c r="AA14" i="9" s="1"/>
  <c r="AA13" i="9"/>
  <c r="Z13" i="9"/>
  <c r="Y13" i="9"/>
  <c r="X13" i="9"/>
  <c r="W13" i="9"/>
  <c r="S13" i="9"/>
  <c r="Q13" i="9"/>
  <c r="M13" i="9"/>
  <c r="D13" i="9"/>
  <c r="C13" i="9"/>
  <c r="B13" i="9"/>
  <c r="AA12" i="9"/>
  <c r="Z12" i="9"/>
  <c r="W12" i="9"/>
  <c r="U12" i="9"/>
  <c r="S12" i="9"/>
  <c r="B12" i="9"/>
  <c r="D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AA7" i="9"/>
  <c r="T7" i="9"/>
  <c r="S7" i="9"/>
  <c r="R7" i="9"/>
  <c r="Q7" i="9"/>
  <c r="P7" i="9"/>
  <c r="N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G3" i="9"/>
  <c r="F3" i="9"/>
  <c r="B3" i="9"/>
  <c r="AA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M15" i="8"/>
  <c r="J15" i="8"/>
  <c r="I15" i="8"/>
  <c r="H15" i="8"/>
  <c r="G15" i="8"/>
  <c r="F15" i="8"/>
  <c r="E15" i="8"/>
  <c r="B15" i="8"/>
  <c r="Z14" i="8"/>
  <c r="Y14" i="8"/>
  <c r="V14" i="8"/>
  <c r="U14" i="8"/>
  <c r="T14" i="8"/>
  <c r="S14" i="8"/>
  <c r="R14" i="8"/>
  <c r="O14" i="8"/>
  <c r="N14" i="8"/>
  <c r="M14" i="8"/>
  <c r="J14" i="8"/>
  <c r="I14" i="8"/>
  <c r="H14" i="8"/>
  <c r="G14" i="8"/>
  <c r="F14" i="8"/>
  <c r="E14" i="8"/>
  <c r="D14" i="8"/>
  <c r="B14" i="8"/>
  <c r="W14" i="8" s="1"/>
  <c r="AB13" i="8"/>
  <c r="AA13" i="8"/>
  <c r="W13" i="8"/>
  <c r="V13" i="8"/>
  <c r="U13" i="8"/>
  <c r="R13" i="8"/>
  <c r="Q13" i="8"/>
  <c r="P13" i="8"/>
  <c r="O13" i="8"/>
  <c r="N13" i="8"/>
  <c r="K13" i="8"/>
  <c r="J13" i="8"/>
  <c r="I13" i="8"/>
  <c r="H13" i="8"/>
  <c r="G13" i="8"/>
  <c r="F13" i="8"/>
  <c r="E13" i="8"/>
  <c r="B13" i="8"/>
  <c r="X13" i="8" s="1"/>
  <c r="B12" i="8"/>
  <c r="C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B7" i="8"/>
  <c r="O7" i="8" s="1"/>
  <c r="P6" i="8"/>
  <c r="O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A3" i="8"/>
  <c r="Z3" i="8"/>
  <c r="W3" i="8"/>
  <c r="Q3" i="8"/>
  <c r="P3" i="8"/>
  <c r="O3" i="8"/>
  <c r="N3" i="8"/>
  <c r="B3" i="8"/>
  <c r="I3" i="8" s="1"/>
  <c r="AA2" i="8"/>
  <c r="Z2" i="8"/>
  <c r="W2" i="8"/>
  <c r="V2" i="8"/>
  <c r="U2" i="8"/>
  <c r="T2" i="8"/>
  <c r="Q2" i="8"/>
  <c r="P2" i="8"/>
  <c r="N2" i="8"/>
  <c r="M2" i="8"/>
  <c r="L2" i="8"/>
  <c r="K2" i="8"/>
  <c r="I2" i="8"/>
  <c r="G2" i="8"/>
  <c r="D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S17" i="7"/>
  <c r="Q17" i="7"/>
  <c r="M17" i="7"/>
  <c r="L17" i="7"/>
  <c r="B17" i="7"/>
  <c r="E17" i="7" s="1"/>
  <c r="N16" i="7"/>
  <c r="M16" i="7"/>
  <c r="L16" i="7"/>
  <c r="J16" i="7"/>
  <c r="H16" i="7"/>
  <c r="G16" i="7"/>
  <c r="B16" i="7"/>
  <c r="AA16" i="7" s="1"/>
  <c r="Y15" i="7"/>
  <c r="W15" i="7"/>
  <c r="V15" i="7"/>
  <c r="F15" i="7"/>
  <c r="B15" i="7"/>
  <c r="AB15" i="7" s="1"/>
  <c r="AB14" i="7"/>
  <c r="AA14" i="7"/>
  <c r="Y14" i="7"/>
  <c r="X14" i="7"/>
  <c r="U14" i="7"/>
  <c r="T14" i="7"/>
  <c r="S14" i="7"/>
  <c r="R14" i="7"/>
  <c r="Q14" i="7"/>
  <c r="O14" i="7"/>
  <c r="N14" i="7"/>
  <c r="M14" i="7"/>
  <c r="L14" i="7"/>
  <c r="J14" i="7"/>
  <c r="I14" i="7"/>
  <c r="H14" i="7"/>
  <c r="F14" i="7"/>
  <c r="D14" i="7"/>
  <c r="B14" i="7"/>
  <c r="X13" i="7"/>
  <c r="W13" i="7"/>
  <c r="V13" i="7"/>
  <c r="T13" i="7"/>
  <c r="R13" i="7"/>
  <c r="H13" i="7"/>
  <c r="B13" i="7"/>
  <c r="AB12" i="7"/>
  <c r="Y12" i="7"/>
  <c r="X12" i="7"/>
  <c r="T12" i="7"/>
  <c r="S12" i="7"/>
  <c r="R12" i="7"/>
  <c r="P12" i="7"/>
  <c r="N12" i="7"/>
  <c r="M12" i="7"/>
  <c r="E12" i="7"/>
  <c r="C12" i="7"/>
  <c r="B12" i="7"/>
  <c r="O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Z8" i="7"/>
  <c r="Y8" i="7"/>
  <c r="W8" i="7"/>
  <c r="V8" i="7"/>
  <c r="U8" i="7"/>
  <c r="T8" i="7"/>
  <c r="R8" i="7"/>
  <c r="Q8" i="7"/>
  <c r="M8" i="7"/>
  <c r="L8" i="7"/>
  <c r="K8" i="7"/>
  <c r="I8" i="7"/>
  <c r="H8" i="7"/>
  <c r="G8" i="7"/>
  <c r="B8" i="7"/>
  <c r="AA8" i="7" s="1"/>
  <c r="AA7" i="7"/>
  <c r="Z7" i="7"/>
  <c r="Y7" i="7"/>
  <c r="W7" i="7"/>
  <c r="V7" i="7"/>
  <c r="U7" i="7"/>
  <c r="S7" i="7"/>
  <c r="R7" i="7"/>
  <c r="O7" i="7"/>
  <c r="N7" i="7"/>
  <c r="L7" i="7"/>
  <c r="K7" i="7"/>
  <c r="J7" i="7"/>
  <c r="I7" i="7"/>
  <c r="H7" i="7"/>
  <c r="E7" i="7"/>
  <c r="D7" i="7"/>
  <c r="C7" i="7"/>
  <c r="B7" i="7"/>
  <c r="U6" i="7"/>
  <c r="S6" i="7"/>
  <c r="R6" i="7"/>
  <c r="K6" i="7"/>
  <c r="I6" i="7"/>
  <c r="H6" i="7"/>
  <c r="F6" i="7"/>
  <c r="B6" i="7"/>
  <c r="AB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T3" i="7"/>
  <c r="S3" i="7"/>
  <c r="P3" i="7"/>
  <c r="O3" i="7"/>
  <c r="B3" i="7"/>
  <c r="B2" i="7"/>
  <c r="R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V17" i="6"/>
  <c r="U17" i="6"/>
  <c r="T17" i="6"/>
  <c r="S17" i="6"/>
  <c r="R17" i="6"/>
  <c r="Q17" i="6"/>
  <c r="P17" i="6"/>
  <c r="O17" i="6"/>
  <c r="J17" i="6"/>
  <c r="H17" i="6"/>
  <c r="G17" i="6"/>
  <c r="F17" i="6"/>
  <c r="E17" i="6"/>
  <c r="D17" i="6"/>
  <c r="C17" i="6"/>
  <c r="B17" i="6"/>
  <c r="E16" i="6"/>
  <c r="D16" i="6"/>
  <c r="C16" i="6"/>
  <c r="B16" i="6"/>
  <c r="AB15" i="6"/>
  <c r="AA15" i="6"/>
  <c r="Y15" i="6"/>
  <c r="W15" i="6"/>
  <c r="V15" i="6"/>
  <c r="U15" i="6"/>
  <c r="S15" i="6"/>
  <c r="P15" i="6"/>
  <c r="O15" i="6"/>
  <c r="N15" i="6"/>
  <c r="M15" i="6"/>
  <c r="L15" i="6"/>
  <c r="K15" i="6"/>
  <c r="D15" i="6"/>
  <c r="C15" i="6"/>
  <c r="B15" i="6"/>
  <c r="AB14" i="6"/>
  <c r="AA14" i="6"/>
  <c r="Y14" i="6"/>
  <c r="W14" i="6"/>
  <c r="T14" i="6"/>
  <c r="P14" i="6"/>
  <c r="O14" i="6"/>
  <c r="N14" i="6"/>
  <c r="M14" i="6"/>
  <c r="L14" i="6"/>
  <c r="C14" i="6"/>
  <c r="B14" i="6"/>
  <c r="Y13" i="6"/>
  <c r="V13" i="6"/>
  <c r="S13" i="6"/>
  <c r="R13" i="6"/>
  <c r="Q13" i="6"/>
  <c r="N13" i="6"/>
  <c r="M13" i="6"/>
  <c r="K13" i="6"/>
  <c r="I13" i="6"/>
  <c r="H13" i="6"/>
  <c r="G13" i="6"/>
  <c r="B13" i="6"/>
  <c r="AB12" i="6"/>
  <c r="Y12" i="6"/>
  <c r="W12" i="6"/>
  <c r="V12" i="6"/>
  <c r="U12" i="6"/>
  <c r="T12" i="6"/>
  <c r="S12" i="6"/>
  <c r="R12" i="6"/>
  <c r="P12" i="6"/>
  <c r="N12" i="6"/>
  <c r="L12" i="6"/>
  <c r="K12" i="6"/>
  <c r="J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B8" i="6"/>
  <c r="AB8" i="6" s="1"/>
  <c r="B7" i="6"/>
  <c r="J7" i="6" s="1"/>
  <c r="B6" i="6"/>
  <c r="AA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Y3" i="6"/>
  <c r="X3" i="6"/>
  <c r="W3" i="6"/>
  <c r="V3" i="6"/>
  <c r="U3" i="6"/>
  <c r="F3" i="6"/>
  <c r="B3" i="6"/>
  <c r="AA3" i="6" s="1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T17" i="5"/>
  <c r="S17" i="5"/>
  <c r="R17" i="5"/>
  <c r="Q17" i="5"/>
  <c r="P17" i="5"/>
  <c r="O17" i="5"/>
  <c r="L17" i="5"/>
  <c r="K17" i="5"/>
  <c r="J17" i="5"/>
  <c r="D17" i="5"/>
  <c r="B17" i="5"/>
  <c r="B16" i="5"/>
  <c r="W15" i="5"/>
  <c r="B15" i="5"/>
  <c r="X15" i="5" s="1"/>
  <c r="AB14" i="5"/>
  <c r="AA14" i="5"/>
  <c r="Z14" i="5"/>
  <c r="W14" i="5"/>
  <c r="V14" i="5"/>
  <c r="O14" i="5"/>
  <c r="B14" i="5"/>
  <c r="D14" i="5" s="1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U7" i="5"/>
  <c r="B7" i="5"/>
  <c r="D7" i="5" s="1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B2" i="5"/>
  <c r="E2" i="5" s="1"/>
  <c r="B2" i="1"/>
  <c r="Y15" i="5" l="1"/>
  <c r="Y17" i="16"/>
  <c r="H2" i="7"/>
  <c r="P2" i="7"/>
  <c r="G15" i="7"/>
  <c r="L3" i="5"/>
  <c r="J15" i="5"/>
  <c r="F15" i="10"/>
  <c r="AB17" i="16"/>
  <c r="D3" i="19"/>
  <c r="K15" i="5"/>
  <c r="O6" i="6"/>
  <c r="V6" i="7"/>
  <c r="Z13" i="7"/>
  <c r="S13" i="7"/>
  <c r="I15" i="7"/>
  <c r="AB3" i="8"/>
  <c r="T7" i="8"/>
  <c r="S12" i="8"/>
  <c r="K2" i="10"/>
  <c r="Z8" i="10"/>
  <c r="G15" i="10"/>
  <c r="K8" i="11"/>
  <c r="M14" i="11"/>
  <c r="D17" i="11"/>
  <c r="T3" i="12"/>
  <c r="W14" i="12"/>
  <c r="Z15" i="12"/>
  <c r="N7" i="13"/>
  <c r="F2" i="14"/>
  <c r="T3" i="14"/>
  <c r="R14" i="14"/>
  <c r="AB15" i="14"/>
  <c r="P12" i="15"/>
  <c r="L7" i="16"/>
  <c r="T8" i="18"/>
  <c r="G3" i="19"/>
  <c r="Y2" i="7"/>
  <c r="M2" i="7"/>
  <c r="O12" i="8"/>
  <c r="U6" i="14"/>
  <c r="W6" i="14"/>
  <c r="S6" i="14"/>
  <c r="Q6" i="14"/>
  <c r="O6" i="14"/>
  <c r="K6" i="14"/>
  <c r="J6" i="14"/>
  <c r="C15" i="10"/>
  <c r="K13" i="5"/>
  <c r="J2" i="10"/>
  <c r="M13" i="5"/>
  <c r="N3" i="5"/>
  <c r="I7" i="5"/>
  <c r="R13" i="5"/>
  <c r="L15" i="5"/>
  <c r="S2" i="7"/>
  <c r="W6" i="7"/>
  <c r="E13" i="7"/>
  <c r="J15" i="7"/>
  <c r="U7" i="8"/>
  <c r="T12" i="8"/>
  <c r="L2" i="10"/>
  <c r="AB8" i="10"/>
  <c r="H15" i="10"/>
  <c r="N8" i="11"/>
  <c r="N14" i="11"/>
  <c r="O17" i="11"/>
  <c r="Y3" i="12"/>
  <c r="X14" i="12"/>
  <c r="R7" i="13"/>
  <c r="G2" i="14"/>
  <c r="U3" i="14"/>
  <c r="H6" i="14"/>
  <c r="S14" i="14"/>
  <c r="P3" i="15"/>
  <c r="G3" i="15"/>
  <c r="E3" i="15"/>
  <c r="C3" i="15"/>
  <c r="Y3" i="15"/>
  <c r="X3" i="15"/>
  <c r="Q12" i="15"/>
  <c r="AB14" i="15"/>
  <c r="N14" i="15"/>
  <c r="M14" i="15"/>
  <c r="E14" i="15"/>
  <c r="D14" i="15"/>
  <c r="M7" i="16"/>
  <c r="Z2" i="17"/>
  <c r="W2" i="17"/>
  <c r="L2" i="17"/>
  <c r="I2" i="17"/>
  <c r="G2" i="17"/>
  <c r="F2" i="17"/>
  <c r="W8" i="18"/>
  <c r="H3" i="19"/>
  <c r="E6" i="5"/>
  <c r="M3" i="5"/>
  <c r="P6" i="6"/>
  <c r="Q3" i="5"/>
  <c r="N7" i="5"/>
  <c r="X13" i="5"/>
  <c r="M15" i="5"/>
  <c r="C3" i="6"/>
  <c r="AB6" i="6"/>
  <c r="U14" i="6"/>
  <c r="X14" i="6"/>
  <c r="X15" i="6"/>
  <c r="T15" i="6"/>
  <c r="Z15" i="6"/>
  <c r="Z2" i="7"/>
  <c r="X6" i="7"/>
  <c r="F13" i="7"/>
  <c r="K15" i="7"/>
  <c r="W7" i="8"/>
  <c r="U12" i="8"/>
  <c r="C3" i="9"/>
  <c r="Y7" i="9"/>
  <c r="W7" i="9"/>
  <c r="V7" i="9"/>
  <c r="M2" i="10"/>
  <c r="K15" i="10"/>
  <c r="O8" i="11"/>
  <c r="O14" i="11"/>
  <c r="P17" i="11"/>
  <c r="Z3" i="12"/>
  <c r="Y14" i="12"/>
  <c r="S7" i="13"/>
  <c r="L2" i="14"/>
  <c r="V3" i="14"/>
  <c r="L6" i="14"/>
  <c r="AB14" i="14"/>
  <c r="D3" i="15"/>
  <c r="R12" i="15"/>
  <c r="O14" i="15"/>
  <c r="T7" i="16"/>
  <c r="J2" i="17"/>
  <c r="I3" i="19"/>
  <c r="I7" i="13"/>
  <c r="Q2" i="7"/>
  <c r="S7" i="8"/>
  <c r="X3" i="7"/>
  <c r="V3" i="7"/>
  <c r="Z6" i="7"/>
  <c r="L15" i="7"/>
  <c r="M2" i="14"/>
  <c r="O15" i="5"/>
  <c r="U3" i="5"/>
  <c r="X7" i="5"/>
  <c r="P15" i="5"/>
  <c r="L3" i="6"/>
  <c r="C8" i="6"/>
  <c r="E14" i="6"/>
  <c r="E15" i="6"/>
  <c r="G3" i="7"/>
  <c r="G7" i="7"/>
  <c r="M7" i="7"/>
  <c r="AB7" i="7"/>
  <c r="F12" i="7"/>
  <c r="J13" i="7"/>
  <c r="N15" i="7"/>
  <c r="D17" i="7"/>
  <c r="O2" i="8"/>
  <c r="F2" i="8"/>
  <c r="D3" i="8"/>
  <c r="Z12" i="8"/>
  <c r="K3" i="9"/>
  <c r="F7" i="9"/>
  <c r="C12" i="9"/>
  <c r="U2" i="10"/>
  <c r="N15" i="10"/>
  <c r="I2" i="11"/>
  <c r="AA6" i="11"/>
  <c r="U6" i="11"/>
  <c r="P6" i="11"/>
  <c r="O6" i="11"/>
  <c r="R8" i="11"/>
  <c r="T14" i="11"/>
  <c r="Y7" i="12"/>
  <c r="S7" i="12"/>
  <c r="P7" i="12"/>
  <c r="E15" i="12"/>
  <c r="X7" i="13"/>
  <c r="C17" i="13"/>
  <c r="P2" i="14"/>
  <c r="AB3" i="14"/>
  <c r="P6" i="14"/>
  <c r="D15" i="14"/>
  <c r="J3" i="15"/>
  <c r="V12" i="15"/>
  <c r="G15" i="15"/>
  <c r="X13" i="16"/>
  <c r="C8" i="17"/>
  <c r="AB12" i="18"/>
  <c r="N3" i="19"/>
  <c r="G2" i="7"/>
  <c r="I6" i="5"/>
  <c r="H14" i="11"/>
  <c r="Q7" i="8"/>
  <c r="T3" i="5"/>
  <c r="X8" i="7"/>
  <c r="J8" i="7"/>
  <c r="AB8" i="7"/>
  <c r="G12" i="7"/>
  <c r="K13" i="7"/>
  <c r="O15" i="7"/>
  <c r="E3" i="8"/>
  <c r="AA12" i="8"/>
  <c r="O3" i="9"/>
  <c r="G7" i="9"/>
  <c r="X14" i="9"/>
  <c r="M14" i="9"/>
  <c r="I14" i="9"/>
  <c r="H14" i="9"/>
  <c r="AB14" i="9"/>
  <c r="Y2" i="10"/>
  <c r="AB12" i="10"/>
  <c r="Z12" i="10"/>
  <c r="N2" i="11"/>
  <c r="X8" i="11"/>
  <c r="V14" i="11"/>
  <c r="Z7" i="13"/>
  <c r="E17" i="13"/>
  <c r="R6" i="14"/>
  <c r="X2" i="15"/>
  <c r="I2" i="15"/>
  <c r="G2" i="15"/>
  <c r="E2" i="15"/>
  <c r="AB2" i="15"/>
  <c r="C2" i="15"/>
  <c r="V2" i="15"/>
  <c r="U2" i="15"/>
  <c r="K3" i="15"/>
  <c r="W12" i="15"/>
  <c r="I15" i="15"/>
  <c r="AB14" i="16"/>
  <c r="Y14" i="16"/>
  <c r="J14" i="16"/>
  <c r="Q13" i="18"/>
  <c r="P13" i="18"/>
  <c r="H13" i="18"/>
  <c r="P3" i="19"/>
  <c r="X15" i="10"/>
  <c r="I15" i="10"/>
  <c r="E15" i="10"/>
  <c r="D15" i="10"/>
  <c r="I15" i="5"/>
  <c r="M6" i="6"/>
  <c r="Q12" i="8"/>
  <c r="N6" i="6"/>
  <c r="R12" i="8"/>
  <c r="Q2" i="14"/>
  <c r="E2" i="14"/>
  <c r="Z2" i="14"/>
  <c r="Y2" i="14"/>
  <c r="S3" i="14"/>
  <c r="F6" i="14"/>
  <c r="N15" i="5"/>
  <c r="X15" i="14"/>
  <c r="R15" i="14"/>
  <c r="P15" i="14"/>
  <c r="N15" i="14"/>
  <c r="L15" i="14"/>
  <c r="H15" i="14"/>
  <c r="G15" i="14"/>
  <c r="V7" i="5"/>
  <c r="D14" i="6"/>
  <c r="Y12" i="9"/>
  <c r="X12" i="9"/>
  <c r="X15" i="12"/>
  <c r="L15" i="12"/>
  <c r="H15" i="12"/>
  <c r="AB15" i="12"/>
  <c r="D15" i="12"/>
  <c r="AA15" i="12"/>
  <c r="C15" i="12"/>
  <c r="W7" i="13"/>
  <c r="AB8" i="17"/>
  <c r="W8" i="17"/>
  <c r="U8" i="17"/>
  <c r="S8" i="17"/>
  <c r="R8" i="17"/>
  <c r="Q8" i="17"/>
  <c r="P8" i="17"/>
  <c r="N8" i="17"/>
  <c r="J8" i="17"/>
  <c r="H8" i="17"/>
  <c r="M3" i="19"/>
  <c r="G15" i="6"/>
  <c r="H12" i="7"/>
  <c r="M13" i="7"/>
  <c r="P15" i="7"/>
  <c r="H3" i="8"/>
  <c r="AB12" i="8"/>
  <c r="S3" i="9"/>
  <c r="I7" i="9"/>
  <c r="E12" i="9"/>
  <c r="AA15" i="9"/>
  <c r="Y15" i="9"/>
  <c r="M15" i="9"/>
  <c r="Z2" i="10"/>
  <c r="G12" i="10"/>
  <c r="P15" i="10"/>
  <c r="Q2" i="11"/>
  <c r="W14" i="11"/>
  <c r="G15" i="12"/>
  <c r="AB6" i="13"/>
  <c r="Z6" i="13"/>
  <c r="P6" i="13"/>
  <c r="AA7" i="13"/>
  <c r="U2" i="14"/>
  <c r="T6" i="14"/>
  <c r="F15" i="14"/>
  <c r="D2" i="15"/>
  <c r="L3" i="15"/>
  <c r="E8" i="15"/>
  <c r="C8" i="15"/>
  <c r="AB8" i="15"/>
  <c r="AA8" i="15"/>
  <c r="Z8" i="15"/>
  <c r="W8" i="15"/>
  <c r="T8" i="15"/>
  <c r="K15" i="15"/>
  <c r="Z6" i="16"/>
  <c r="S6" i="16"/>
  <c r="O6" i="16"/>
  <c r="M6" i="16"/>
  <c r="L6" i="16"/>
  <c r="K6" i="16"/>
  <c r="J6" i="16"/>
  <c r="G6" i="16"/>
  <c r="F6" i="16"/>
  <c r="C14" i="16"/>
  <c r="F8" i="17"/>
  <c r="G13" i="18"/>
  <c r="AA3" i="19"/>
  <c r="L6" i="6"/>
  <c r="J13" i="5"/>
  <c r="H2" i="10"/>
  <c r="P3" i="14"/>
  <c r="E6" i="14"/>
  <c r="M7" i="13"/>
  <c r="Y13" i="5"/>
  <c r="AB17" i="7"/>
  <c r="H17" i="7"/>
  <c r="N2" i="10"/>
  <c r="L15" i="10"/>
  <c r="AB17" i="11"/>
  <c r="W3" i="14"/>
  <c r="M15" i="7"/>
  <c r="E15" i="15"/>
  <c r="V3" i="5"/>
  <c r="Y7" i="5"/>
  <c r="Q15" i="5"/>
  <c r="F14" i="6"/>
  <c r="H3" i="7"/>
  <c r="O3" i="6"/>
  <c r="H14" i="6"/>
  <c r="F17" i="7"/>
  <c r="AA7" i="5"/>
  <c r="P3" i="6"/>
  <c r="H15" i="6"/>
  <c r="K3" i="7"/>
  <c r="D8" i="7"/>
  <c r="J12" i="7"/>
  <c r="N13" i="7"/>
  <c r="Q15" i="7"/>
  <c r="G17" i="7"/>
  <c r="X14" i="8"/>
  <c r="Q14" i="8"/>
  <c r="P14" i="8"/>
  <c r="AA14" i="8"/>
  <c r="Y3" i="9"/>
  <c r="J7" i="9"/>
  <c r="AA12" i="10"/>
  <c r="U3" i="11"/>
  <c r="P3" i="11"/>
  <c r="M3" i="11"/>
  <c r="I12" i="11"/>
  <c r="C12" i="11"/>
  <c r="X14" i="11"/>
  <c r="I15" i="12"/>
  <c r="O17" i="12"/>
  <c r="G6" i="13"/>
  <c r="AB7" i="13"/>
  <c r="AB12" i="13"/>
  <c r="V12" i="13"/>
  <c r="T12" i="13"/>
  <c r="M12" i="13"/>
  <c r="H12" i="13"/>
  <c r="D12" i="13"/>
  <c r="V2" i="14"/>
  <c r="X6" i="14"/>
  <c r="I15" i="14"/>
  <c r="F2" i="15"/>
  <c r="M3" i="15"/>
  <c r="D8" i="15"/>
  <c r="P13" i="15"/>
  <c r="K13" i="15"/>
  <c r="I13" i="15"/>
  <c r="G13" i="15"/>
  <c r="F13" i="15"/>
  <c r="E13" i="15"/>
  <c r="D13" i="15"/>
  <c r="AA13" i="15"/>
  <c r="Z13" i="15"/>
  <c r="E6" i="16"/>
  <c r="F14" i="16"/>
  <c r="O8" i="17"/>
  <c r="H15" i="5"/>
  <c r="O2" i="7"/>
  <c r="I14" i="11"/>
  <c r="J3" i="8"/>
  <c r="G3" i="8"/>
  <c r="Y7" i="8"/>
  <c r="V12" i="8"/>
  <c r="C15" i="15"/>
  <c r="AA15" i="15"/>
  <c r="Z13" i="5"/>
  <c r="F3" i="7"/>
  <c r="I13" i="7"/>
  <c r="C17" i="7"/>
  <c r="C3" i="8"/>
  <c r="Z7" i="8"/>
  <c r="Y12" i="8"/>
  <c r="P2" i="10"/>
  <c r="M15" i="10"/>
  <c r="N6" i="14"/>
  <c r="M3" i="6"/>
  <c r="D8" i="6"/>
  <c r="F15" i="6"/>
  <c r="Z7" i="5"/>
  <c r="R15" i="5"/>
  <c r="E8" i="6"/>
  <c r="J3" i="7"/>
  <c r="C8" i="7"/>
  <c r="S15" i="5"/>
  <c r="G8" i="6"/>
  <c r="I14" i="6"/>
  <c r="T13" i="8"/>
  <c r="S13" i="8"/>
  <c r="H12" i="9"/>
  <c r="D14" i="9"/>
  <c r="K15" i="9"/>
  <c r="AA2" i="10"/>
  <c r="Q15" i="10"/>
  <c r="AB7" i="5"/>
  <c r="Y14" i="5"/>
  <c r="T15" i="5"/>
  <c r="Q3" i="6"/>
  <c r="H8" i="6"/>
  <c r="J14" i="6"/>
  <c r="I15" i="6"/>
  <c r="N17" i="6"/>
  <c r="M17" i="6"/>
  <c r="AB17" i="6"/>
  <c r="L3" i="7"/>
  <c r="F7" i="7"/>
  <c r="E8" i="7"/>
  <c r="K12" i="7"/>
  <c r="O13" i="7"/>
  <c r="R15" i="7"/>
  <c r="I17" i="7"/>
  <c r="H2" i="8"/>
  <c r="K3" i="8"/>
  <c r="E6" i="8"/>
  <c r="C13" i="8"/>
  <c r="C14" i="8"/>
  <c r="AB14" i="8"/>
  <c r="Z3" i="9"/>
  <c r="L7" i="9"/>
  <c r="J12" i="9"/>
  <c r="E14" i="9"/>
  <c r="Z15" i="9"/>
  <c r="Z17" i="9"/>
  <c r="G17" i="9"/>
  <c r="R15" i="10"/>
  <c r="C3" i="11"/>
  <c r="H6" i="11"/>
  <c r="E12" i="11"/>
  <c r="AA14" i="11"/>
  <c r="G7" i="12"/>
  <c r="J15" i="12"/>
  <c r="T17" i="12"/>
  <c r="S2" i="13"/>
  <c r="Z2" i="13"/>
  <c r="U2" i="13"/>
  <c r="O2" i="13"/>
  <c r="N2" i="13"/>
  <c r="H6" i="13"/>
  <c r="I12" i="13"/>
  <c r="X2" i="14"/>
  <c r="Z6" i="14"/>
  <c r="J15" i="14"/>
  <c r="H2" i="15"/>
  <c r="N3" i="15"/>
  <c r="F8" i="15"/>
  <c r="C13" i="15"/>
  <c r="T15" i="15"/>
  <c r="H6" i="16"/>
  <c r="G14" i="16"/>
  <c r="T8" i="17"/>
  <c r="AB6" i="18"/>
  <c r="X6" i="18"/>
  <c r="W6" i="18"/>
  <c r="Q6" i="18"/>
  <c r="P6" i="18"/>
  <c r="O6" i="18"/>
  <c r="K6" i="18"/>
  <c r="J6" i="18"/>
  <c r="I6" i="18"/>
  <c r="Z15" i="5"/>
  <c r="I13" i="5"/>
  <c r="P7" i="8"/>
  <c r="X6" i="5"/>
  <c r="S3" i="5"/>
  <c r="Q14" i="11"/>
  <c r="AA3" i="12"/>
  <c r="M6" i="14"/>
  <c r="K3" i="6"/>
  <c r="R14" i="11"/>
  <c r="O2" i="14"/>
  <c r="C15" i="14"/>
  <c r="U15" i="5"/>
  <c r="S3" i="6"/>
  <c r="I8" i="6"/>
  <c r="AB13" i="6"/>
  <c r="T13" i="6"/>
  <c r="K14" i="6"/>
  <c r="J15" i="6"/>
  <c r="M3" i="7"/>
  <c r="F8" i="7"/>
  <c r="L12" i="7"/>
  <c r="Q13" i="7"/>
  <c r="T15" i="7"/>
  <c r="J17" i="7"/>
  <c r="L3" i="8"/>
  <c r="F6" i="8"/>
  <c r="Z15" i="8"/>
  <c r="O15" i="8"/>
  <c r="N15" i="8"/>
  <c r="M7" i="9"/>
  <c r="O12" i="9"/>
  <c r="F14" i="9"/>
  <c r="T15" i="10"/>
  <c r="D3" i="11"/>
  <c r="F12" i="11"/>
  <c r="K15" i="12"/>
  <c r="J6" i="13"/>
  <c r="J12" i="13"/>
  <c r="U14" i="13"/>
  <c r="E14" i="13"/>
  <c r="Y14" i="13"/>
  <c r="S14" i="13"/>
  <c r="R14" i="13"/>
  <c r="AA2" i="14"/>
  <c r="AA6" i="14"/>
  <c r="K15" i="14"/>
  <c r="J2" i="15"/>
  <c r="Q3" i="15"/>
  <c r="G8" i="15"/>
  <c r="H13" i="15"/>
  <c r="U15" i="15"/>
  <c r="I6" i="16"/>
  <c r="V8" i="17"/>
  <c r="AB17" i="17"/>
  <c r="Z17" i="17"/>
  <c r="X17" i="17"/>
  <c r="W17" i="17"/>
  <c r="U17" i="17"/>
  <c r="R17" i="17"/>
  <c r="O17" i="17"/>
  <c r="M17" i="17"/>
  <c r="L17" i="17"/>
  <c r="E6" i="18"/>
  <c r="S14" i="11"/>
  <c r="U14" i="11"/>
  <c r="P14" i="11"/>
  <c r="L14" i="11"/>
  <c r="K14" i="11"/>
  <c r="W6" i="5"/>
  <c r="O3" i="19"/>
  <c r="J3" i="19"/>
  <c r="F3" i="19"/>
  <c r="E3" i="19"/>
  <c r="AB3" i="19"/>
  <c r="C3" i="19"/>
  <c r="Z3" i="19"/>
  <c r="Y3" i="19"/>
  <c r="W3" i="19"/>
  <c r="V3" i="19"/>
  <c r="U3" i="19"/>
  <c r="T3" i="19"/>
  <c r="S3" i="19"/>
  <c r="R3" i="19"/>
  <c r="Q3" i="19"/>
  <c r="Z6" i="5"/>
  <c r="H15" i="7"/>
  <c r="J14" i="11"/>
  <c r="C17" i="11"/>
  <c r="V15" i="5"/>
  <c r="N3" i="7"/>
  <c r="AA6" i="7"/>
  <c r="N6" i="7"/>
  <c r="U15" i="7"/>
  <c r="K17" i="7"/>
  <c r="M3" i="8"/>
  <c r="U15" i="10"/>
  <c r="AB12" i="12"/>
  <c r="C12" i="12"/>
  <c r="M15" i="12"/>
  <c r="AB2" i="14"/>
  <c r="Z7" i="14"/>
  <c r="X7" i="14"/>
  <c r="V7" i="14"/>
  <c r="R7" i="14"/>
  <c r="O7" i="14"/>
  <c r="K7" i="14"/>
  <c r="J7" i="14"/>
  <c r="M15" i="14"/>
  <c r="T3" i="15"/>
  <c r="V15" i="15"/>
  <c r="Y8" i="17"/>
  <c r="J3" i="14"/>
  <c r="G3" i="14"/>
  <c r="E3" i="14"/>
  <c r="C3" i="14"/>
  <c r="Y3" i="14"/>
  <c r="X3" i="14"/>
  <c r="M15" i="17"/>
  <c r="N15" i="17"/>
  <c r="I15" i="17"/>
  <c r="H15" i="17"/>
  <c r="AB7" i="18"/>
  <c r="D7" i="18"/>
  <c r="C7" i="18"/>
  <c r="D15" i="18"/>
  <c r="AB15" i="18"/>
  <c r="AA15" i="18"/>
  <c r="Z15" i="18"/>
  <c r="Y15" i="18"/>
  <c r="X15" i="18"/>
  <c r="W15" i="18"/>
  <c r="S15" i="18"/>
  <c r="V17" i="16"/>
  <c r="G17" i="16"/>
  <c r="C17" i="16"/>
  <c r="AA2" i="19"/>
  <c r="F2" i="19"/>
  <c r="AB2" i="19"/>
  <c r="Z2" i="19"/>
  <c r="X2" i="19"/>
  <c r="W2" i="19"/>
  <c r="V2" i="19"/>
  <c r="U2" i="19"/>
  <c r="S2" i="19"/>
  <c r="R2" i="19"/>
  <c r="P2" i="19"/>
  <c r="Y7" i="13"/>
  <c r="L7" i="13"/>
  <c r="H7" i="13"/>
  <c r="D7" i="13"/>
  <c r="W2" i="10"/>
  <c r="X2" i="10"/>
  <c r="V2" i="10"/>
  <c r="D13" i="5"/>
  <c r="I2" i="7"/>
  <c r="C14" i="11"/>
  <c r="X12" i="8"/>
  <c r="W12" i="8"/>
  <c r="C15" i="5"/>
  <c r="G7" i="8"/>
  <c r="D15" i="5"/>
  <c r="E6" i="6"/>
  <c r="C2" i="10"/>
  <c r="Z15" i="10"/>
  <c r="U3" i="12"/>
  <c r="M3" i="12"/>
  <c r="I3" i="12"/>
  <c r="G3" i="12"/>
  <c r="H17" i="16"/>
  <c r="C2" i="19"/>
  <c r="E15" i="5"/>
  <c r="U3" i="7"/>
  <c r="O6" i="7"/>
  <c r="R3" i="8"/>
  <c r="K7" i="8"/>
  <c r="E12" i="8"/>
  <c r="AB12" i="9"/>
  <c r="D2" i="10"/>
  <c r="AA15" i="10"/>
  <c r="E14" i="11"/>
  <c r="F3" i="12"/>
  <c r="U12" i="15"/>
  <c r="M12" i="15"/>
  <c r="K12" i="15"/>
  <c r="I12" i="15"/>
  <c r="H12" i="15"/>
  <c r="G12" i="15"/>
  <c r="D12" i="15"/>
  <c r="AA12" i="15"/>
  <c r="Z12" i="15"/>
  <c r="Z7" i="16"/>
  <c r="C7" i="16"/>
  <c r="X7" i="16"/>
  <c r="U7" i="16"/>
  <c r="S7" i="16"/>
  <c r="R7" i="16"/>
  <c r="P7" i="16"/>
  <c r="O7" i="16"/>
  <c r="J7" i="16"/>
  <c r="I7" i="16"/>
  <c r="J17" i="16"/>
  <c r="AA8" i="18"/>
  <c r="V8" i="18"/>
  <c r="U8" i="18"/>
  <c r="S8" i="18"/>
  <c r="Q8" i="18"/>
  <c r="P8" i="18"/>
  <c r="O8" i="18"/>
  <c r="N8" i="18"/>
  <c r="M8" i="18"/>
  <c r="K8" i="18"/>
  <c r="J8" i="18"/>
  <c r="G8" i="18"/>
  <c r="K15" i="18"/>
  <c r="D2" i="5"/>
  <c r="M6" i="5"/>
  <c r="G13" i="5"/>
  <c r="F15" i="5"/>
  <c r="J6" i="6"/>
  <c r="X12" i="6"/>
  <c r="O12" i="6"/>
  <c r="O13" i="6"/>
  <c r="R14" i="6"/>
  <c r="Q15" i="6"/>
  <c r="K17" i="6"/>
  <c r="L2" i="7"/>
  <c r="Z3" i="7"/>
  <c r="P6" i="7"/>
  <c r="P7" i="7"/>
  <c r="N8" i="7"/>
  <c r="V12" i="7"/>
  <c r="AB13" i="7"/>
  <c r="D15" i="7"/>
  <c r="U17" i="7"/>
  <c r="R2" i="8"/>
  <c r="S3" i="8"/>
  <c r="M7" i="8"/>
  <c r="H12" i="8"/>
  <c r="L13" i="8"/>
  <c r="K14" i="8"/>
  <c r="K15" i="8"/>
  <c r="U7" i="9"/>
  <c r="P14" i="9"/>
  <c r="Q17" i="9"/>
  <c r="E2" i="10"/>
  <c r="C8" i="10"/>
  <c r="AB15" i="10"/>
  <c r="Q3" i="11"/>
  <c r="X6" i="11"/>
  <c r="P12" i="11"/>
  <c r="F14" i="11"/>
  <c r="J3" i="12"/>
  <c r="AA7" i="12"/>
  <c r="K14" i="12"/>
  <c r="S15" i="12"/>
  <c r="E7" i="13"/>
  <c r="X12" i="13"/>
  <c r="N14" i="13"/>
  <c r="L3" i="14"/>
  <c r="I7" i="14"/>
  <c r="V15" i="14"/>
  <c r="Q2" i="15"/>
  <c r="O8" i="15"/>
  <c r="C12" i="15"/>
  <c r="R13" i="15"/>
  <c r="D7" i="16"/>
  <c r="R17" i="16"/>
  <c r="Y7" i="17"/>
  <c r="T7" i="17"/>
  <c r="R7" i="17"/>
  <c r="O7" i="17"/>
  <c r="K7" i="17"/>
  <c r="J7" i="17"/>
  <c r="H7" i="17"/>
  <c r="F7" i="17"/>
  <c r="E7" i="17"/>
  <c r="D7" i="17"/>
  <c r="C8" i="18"/>
  <c r="M15" i="18"/>
  <c r="M2" i="19"/>
  <c r="J6" i="5"/>
  <c r="AA15" i="5"/>
  <c r="X15" i="7"/>
  <c r="S15" i="7"/>
  <c r="Z15" i="7"/>
  <c r="J7" i="8"/>
  <c r="D12" i="8"/>
  <c r="I3" i="14"/>
  <c r="C2" i="5"/>
  <c r="K6" i="5"/>
  <c r="F13" i="5"/>
  <c r="AB15" i="5"/>
  <c r="I6" i="6"/>
  <c r="Q14" i="6"/>
  <c r="K2" i="7"/>
  <c r="AA13" i="7"/>
  <c r="C15" i="7"/>
  <c r="AA15" i="7"/>
  <c r="T17" i="7"/>
  <c r="AB8" i="11"/>
  <c r="T8" i="11"/>
  <c r="S8" i="11"/>
  <c r="R15" i="12"/>
  <c r="C7" i="13"/>
  <c r="K3" i="14"/>
  <c r="AB13" i="14"/>
  <c r="S13" i="14"/>
  <c r="Q13" i="14"/>
  <c r="K13" i="14"/>
  <c r="E13" i="14"/>
  <c r="U15" i="14"/>
  <c r="H2" i="19"/>
  <c r="R6" i="5"/>
  <c r="H13" i="5"/>
  <c r="G15" i="5"/>
  <c r="K6" i="6"/>
  <c r="D12" i="6"/>
  <c r="P13" i="6"/>
  <c r="S14" i="6"/>
  <c r="R15" i="6"/>
  <c r="L17" i="6"/>
  <c r="N2" i="7"/>
  <c r="AB3" i="7"/>
  <c r="Q6" i="7"/>
  <c r="Q7" i="7"/>
  <c r="P8" i="7"/>
  <c r="W12" i="7"/>
  <c r="Z14" i="7"/>
  <c r="V14" i="7"/>
  <c r="E15" i="7"/>
  <c r="V17" i="7"/>
  <c r="S2" i="8"/>
  <c r="V3" i="8"/>
  <c r="N12" i="8"/>
  <c r="M13" i="8"/>
  <c r="L14" i="8"/>
  <c r="L15" i="8"/>
  <c r="X7" i="9"/>
  <c r="Q14" i="9"/>
  <c r="R17" i="9"/>
  <c r="F2" i="10"/>
  <c r="G8" i="10"/>
  <c r="X14" i="10"/>
  <c r="M14" i="10"/>
  <c r="I14" i="10"/>
  <c r="H14" i="10"/>
  <c r="AB14" i="10"/>
  <c r="R3" i="11"/>
  <c r="Q7" i="11"/>
  <c r="AB7" i="11"/>
  <c r="D7" i="11"/>
  <c r="W7" i="11"/>
  <c r="S7" i="11"/>
  <c r="R7" i="11"/>
  <c r="D8" i="11"/>
  <c r="T12" i="11"/>
  <c r="G14" i="11"/>
  <c r="K3" i="12"/>
  <c r="AB7" i="12"/>
  <c r="T15" i="12"/>
  <c r="L2" i="13"/>
  <c r="F7" i="13"/>
  <c r="W13" i="13"/>
  <c r="Z13" i="13"/>
  <c r="U13" i="13"/>
  <c r="Q13" i="13"/>
  <c r="P13" i="13"/>
  <c r="O14" i="13"/>
  <c r="M3" i="14"/>
  <c r="L7" i="14"/>
  <c r="N13" i="14"/>
  <c r="W15" i="14"/>
  <c r="R2" i="15"/>
  <c r="R8" i="15"/>
  <c r="J12" i="15"/>
  <c r="S13" i="15"/>
  <c r="E7" i="16"/>
  <c r="U17" i="16"/>
  <c r="G7" i="17"/>
  <c r="D8" i="18"/>
  <c r="Q15" i="18"/>
  <c r="N2" i="19"/>
  <c r="Q8" i="19"/>
  <c r="X8" i="9"/>
  <c r="U8" i="12"/>
  <c r="P3" i="13"/>
  <c r="Q15" i="13"/>
  <c r="W6" i="15"/>
  <c r="T7" i="15"/>
  <c r="U2" i="16"/>
  <c r="U12" i="17"/>
  <c r="L2" i="18"/>
  <c r="Q3" i="18"/>
  <c r="C17" i="18"/>
  <c r="C7" i="19"/>
  <c r="R8" i="19"/>
  <c r="I12" i="19"/>
  <c r="Q13" i="19"/>
  <c r="C15" i="19"/>
  <c r="Y8" i="9"/>
  <c r="J13" i="11"/>
  <c r="V8" i="12"/>
  <c r="V3" i="13"/>
  <c r="R15" i="13"/>
  <c r="X6" i="15"/>
  <c r="U7" i="15"/>
  <c r="W2" i="16"/>
  <c r="V12" i="17"/>
  <c r="M2" i="18"/>
  <c r="R3" i="18"/>
  <c r="D17" i="18"/>
  <c r="F7" i="19"/>
  <c r="S8" i="19"/>
  <c r="J12" i="19"/>
  <c r="T13" i="19"/>
  <c r="E15" i="19"/>
  <c r="W12" i="17"/>
  <c r="N2" i="18"/>
  <c r="S3" i="18"/>
  <c r="E17" i="18"/>
  <c r="G7" i="19"/>
  <c r="T8" i="19"/>
  <c r="L12" i="19"/>
  <c r="V13" i="19"/>
  <c r="F15" i="19"/>
  <c r="G17" i="18"/>
  <c r="H7" i="19"/>
  <c r="V8" i="19"/>
  <c r="P12" i="19"/>
  <c r="W13" i="19"/>
  <c r="G15" i="19"/>
  <c r="Y7" i="15"/>
  <c r="AA2" i="16"/>
  <c r="X15" i="16"/>
  <c r="W3" i="18"/>
  <c r="H14" i="18"/>
  <c r="I17" i="18"/>
  <c r="L7" i="19"/>
  <c r="W8" i="19"/>
  <c r="W15" i="13"/>
  <c r="C7" i="15"/>
  <c r="Z7" i="15"/>
  <c r="Y15" i="16"/>
  <c r="AB12" i="17"/>
  <c r="R2" i="18"/>
  <c r="Y3" i="18"/>
  <c r="L14" i="18"/>
  <c r="J17" i="18"/>
  <c r="M7" i="19"/>
  <c r="Y8" i="19"/>
  <c r="R12" i="19"/>
  <c r="Z13" i="19"/>
  <c r="L15" i="19"/>
  <c r="C17" i="19"/>
  <c r="D7" i="15"/>
  <c r="AA7" i="15"/>
  <c r="S2" i="18"/>
  <c r="Q14" i="18"/>
  <c r="L17" i="18"/>
  <c r="R7" i="19"/>
  <c r="Z8" i="19"/>
  <c r="T12" i="19"/>
  <c r="AA13" i="19"/>
  <c r="M15" i="19"/>
  <c r="E17" i="19"/>
  <c r="Z15" i="13"/>
  <c r="E7" i="15"/>
  <c r="AB7" i="15"/>
  <c r="C12" i="16"/>
  <c r="U2" i="18"/>
  <c r="R14" i="18"/>
  <c r="M17" i="18"/>
  <c r="U7" i="19"/>
  <c r="AA8" i="19"/>
  <c r="O15" i="19"/>
  <c r="F17" i="19"/>
  <c r="AB8" i="19"/>
  <c r="V12" i="19"/>
  <c r="F14" i="19"/>
  <c r="P15" i="19"/>
  <c r="G17" i="19"/>
  <c r="D15" i="13"/>
  <c r="AB15" i="13"/>
  <c r="G7" i="15"/>
  <c r="K12" i="16"/>
  <c r="E12" i="17"/>
  <c r="X2" i="18"/>
  <c r="V14" i="18"/>
  <c r="O17" i="18"/>
  <c r="C8" i="19"/>
  <c r="Y12" i="19"/>
  <c r="G14" i="19"/>
  <c r="Q15" i="19"/>
  <c r="M17" i="19"/>
  <c r="F15" i="13"/>
  <c r="I7" i="15"/>
  <c r="X12" i="16"/>
  <c r="Z2" i="18"/>
  <c r="Y14" i="18"/>
  <c r="Q17" i="18"/>
  <c r="E8" i="19"/>
  <c r="AB12" i="19"/>
  <c r="J14" i="19"/>
  <c r="Y15" i="19"/>
  <c r="Q17" i="19"/>
  <c r="R17" i="18"/>
  <c r="F8" i="19"/>
  <c r="K14" i="19"/>
  <c r="AA15" i="19"/>
  <c r="R17" i="19"/>
  <c r="I3" i="18"/>
  <c r="V17" i="18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<sst xmlns="http://schemas.openxmlformats.org/spreadsheetml/2006/main" count="3113" uniqueCount="587">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</sst>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117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NV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1.0305130670525034E-2</v>
      </c>
      <c r="C2" s="7">
        <f>$B2 * IFERROR(VLOOKUP("transport|PM25|Premature mortality", US_national_yearly!$D:$AM, 11, FALSE) / VLOOKUP("transport|PM25|Premature mortality", US_national_yearly!$D:$AM, 10, FALSE), 1)</f>
        <v>1.0432891707288571E-2</v>
      </c>
      <c r="D2" s="7">
        <f>$B2 * IFERROR(VLOOKUP("transport|PM25|Premature mortality", US_national_yearly!$D:$AM, 12, FALSE) / VLOOKUP("transport|PM25|Premature mortality", US_national_yearly!$D:$AM, 10, FALSE), 1)</f>
        <v>1.0560652744052107E-2</v>
      </c>
      <c r="E2" s="7">
        <f>$B2 * IFERROR(VLOOKUP("transport|PM25|Premature mortality", US_national_yearly!$D:$AM, 13, FALSE) / VLOOKUP("transport|PM25|Premature mortality", US_national_yearly!$D:$AM, 10, FALSE), 1)</f>
        <v>1.0688413780815642E-2</v>
      </c>
      <c r="F2" s="7">
        <f>$B2 * IFERROR(VLOOKUP("transport|PM25|Premature mortality", US_national_yearly!$D:$AM, 14, FALSE) / VLOOKUP("transport|PM25|Premature mortality", US_national_yearly!$D:$AM, 10, FALSE), 1)</f>
        <v>1.0816174817579178E-2</v>
      </c>
      <c r="G2" s="7">
        <f>$B2 * IFERROR(VLOOKUP("transport|PM25|Premature mortality", US_national_yearly!$D:$AM, 15, FALSE) / VLOOKUP("transport|PM25|Premature mortality", US_national_yearly!$D:$AM, 10, FALSE), 1)</f>
        <v>1.1064988473125233E-2</v>
      </c>
      <c r="H2" s="7">
        <f>$B2 * IFERROR(VLOOKUP("transport|PM25|Premature mortality", US_national_yearly!$D:$AM, 16, FALSE) / VLOOKUP("transport|PM25|Premature mortality", US_national_yearly!$D:$AM, 10, FALSE), 1)</f>
        <v>1.131380212867129E-2</v>
      </c>
      <c r="I2" s="7">
        <f>$B2 * IFERROR(VLOOKUP("transport|PM25|Premature mortality", US_national_yearly!$D:$AM, 17, FALSE) / VLOOKUP("transport|PM25|Premature mortality", US_national_yearly!$D:$AM, 10, FALSE), 1)</f>
        <v>1.1477233411478467E-2</v>
      </c>
      <c r="J2" s="7">
        <f>$B2 * IFERROR(VLOOKUP("transport|PM25|Premature mortality", US_national_yearly!$D:$AM, 18, FALSE) / VLOOKUP("transport|PM25|Premature mortality", US_national_yearly!$D:$AM, 10, FALSE), 1)</f>
        <v>1.1640664694285648E-2</v>
      </c>
      <c r="K2" s="7">
        <f>$B2 * IFERROR(VLOOKUP("transport|PM25|Premature mortality", US_national_yearly!$D:$AM, 19, FALSE) / VLOOKUP("transport|PM25|Premature mortality", US_national_yearly!$D:$AM, 10, FALSE), 1)</f>
        <v>1.1804095977092827E-2</v>
      </c>
      <c r="L2" s="7">
        <f>$B2 * IFERROR(VLOOKUP("transport|PM25|Premature mortality", US_national_yearly!$D:$AM, 20, FALSE) / VLOOKUP("transport|PM25|Premature mortality", US_national_yearly!$D:$AM, 10, FALSE), 1)</f>
        <v>1.196752725990001E-2</v>
      </c>
      <c r="M2" s="7">
        <f>$B2 * IFERROR(VLOOKUP("transport|PM25|Premature mortality", US_national_yearly!$D:$AM, 21, FALSE) / VLOOKUP("transport|PM25|Premature mortality", US_national_yearly!$D:$AM, 10, FALSE), 1)</f>
        <v>1.2130958542707189E-2</v>
      </c>
      <c r="N2" s="7">
        <f>$B2 * IFERROR(VLOOKUP("transport|PM25|Premature mortality", US_national_yearly!$D:$AM, 22, FALSE) / VLOOKUP("transport|PM25|Premature mortality", US_national_yearly!$D:$AM, 10, FALSE), 1)</f>
        <v>1.2257852532379959E-2</v>
      </c>
      <c r="O2" s="7">
        <f>$B2 * IFERROR(VLOOKUP("transport|PM25|Premature mortality", US_national_yearly!$D:$AM, 23, FALSE) / VLOOKUP("transport|PM25|Premature mortality", US_national_yearly!$D:$AM, 10, FALSE), 1)</f>
        <v>1.2384746522052731E-2</v>
      </c>
      <c r="P2" s="7">
        <f>$B2 * IFERROR(VLOOKUP("transport|PM25|Premature mortality", US_national_yearly!$D:$AM, 24, FALSE) / VLOOKUP("transport|PM25|Premature mortality", US_national_yearly!$D:$AM, 10, FALSE), 1)</f>
        <v>1.2511640511725503E-2</v>
      </c>
      <c r="Q2" s="7">
        <f>$B2 * IFERROR(VLOOKUP("transport|PM25|Premature mortality", US_national_yearly!$D:$AM, 25, FALSE) / VLOOKUP("transport|PM25|Premature mortality", US_national_yearly!$D:$AM, 10, FALSE), 1)</f>
        <v>1.2638534501398273E-2</v>
      </c>
      <c r="R2" s="7">
        <f>$B2 * IFERROR(VLOOKUP("transport|PM25|Premature mortality", US_national_yearly!$D:$AM, 26, FALSE) / VLOOKUP("transport|PM25|Premature mortality", US_national_yearly!$D:$AM, 10, FALSE), 1)</f>
        <v>1.2765428491071047E-2</v>
      </c>
      <c r="S2" s="7">
        <f>$B2 * IFERROR(VLOOKUP("transport|PM25|Premature mortality", US_national_yearly!$D:$AM, 27, FALSE) / VLOOKUP("transport|PM25|Premature mortality", US_national_yearly!$D:$AM, 10, FALSE), 1)</f>
        <v>1.2832653156653587E-2</v>
      </c>
      <c r="T2" s="7">
        <f>$B2 * IFERROR(VLOOKUP("transport|PM25|Premature mortality", US_national_yearly!$D:$AM, 28, FALSE) / VLOOKUP("transport|PM25|Premature mortality", US_national_yearly!$D:$AM, 10, FALSE), 1)</f>
        <v>1.2899877822236125E-2</v>
      </c>
      <c r="U2" s="7">
        <f>$B2 * IFERROR(VLOOKUP("transport|PM25|Premature mortality", US_national_yearly!$D:$AM, 29, FALSE) / VLOOKUP("transport|PM25|Premature mortality", US_national_yearly!$D:$AM, 10, FALSE), 1)</f>
        <v>1.2967102487818662E-2</v>
      </c>
      <c r="V2" s="7">
        <f>$B2 * IFERROR(VLOOKUP("transport|PM25|Premature mortality", US_national_yearly!$D:$AM, 30, FALSE) / VLOOKUP("transport|PM25|Premature mortality", US_national_yearly!$D:$AM, 10, FALSE), 1)</f>
        <v>1.30343271534012E-2</v>
      </c>
      <c r="W2" s="7">
        <f>$B2 * IFERROR(VLOOKUP("transport|PM25|Premature mortality", US_national_yearly!$D:$AM, 31, FALSE) / VLOOKUP("transport|PM25|Premature mortality", US_national_yearly!$D:$AM, 10, FALSE), 1)</f>
        <v>1.3101551818983738E-2</v>
      </c>
      <c r="X2" s="7">
        <f>$B2 * IFERROR(VLOOKUP("transport|PM25|Premature mortality", US_national_yearly!$D:$AM, 32, FALSE) / VLOOKUP("transport|PM25|Premature mortality", US_national_yearly!$D:$AM, 10, FALSE), 1)</f>
        <v>1.3113306571779657E-2</v>
      </c>
      <c r="Y2" s="7">
        <f>$B2 * IFERROR(VLOOKUP("transport|PM25|Premature mortality", US_national_yearly!$D:$AM, 33, FALSE) / VLOOKUP("transport|PM25|Premature mortality", US_national_yearly!$D:$AM, 10, FALSE), 1)</f>
        <v>1.3125061324575579E-2</v>
      </c>
      <c r="Z2" s="7">
        <f>$B2 * IFERROR(VLOOKUP("transport|PM25|Premature mortality", US_national_yearly!$D:$AM, 34, FALSE) / VLOOKUP("transport|PM25|Premature mortality", US_national_yearly!$D:$AM, 10, FALSE), 1)</f>
        <v>1.3136816077371497E-2</v>
      </c>
      <c r="AA2" s="7">
        <f>$B2 * IFERROR(VLOOKUP("transport|PM25|Premature mortality", US_national_yearly!$D:$AM, 35, FALSE) / VLOOKUP("transport|PM25|Premature mortality", US_national_yearly!$D:$AM, 10, FALSE), 1)</f>
        <v>1.3148570830167417E-2</v>
      </c>
      <c r="AB2" s="7">
        <f>$B2 * IFERROR(VLOOKUP("transport|PM25|Premature mortality", US_national_yearly!$D:$AM, 36, FALSE) / VLOOKUP("transport|PM25|Premature mortality", US_national_yearly!$D:$AM, 10, FALSE), 1)</f>
        <v>1.3160325582963338E-2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2.2188136584889827E-5</v>
      </c>
      <c r="C3" s="7">
        <f>$B3 * IFERROR(VLOOKUP("transport|PM25|Infant mortality", US_national_yearly!$D:$AM, 11, FALSE) / VLOOKUP("transport|PM25|Infant mortality", US_national_yearly!$D:$AM, 10, FALSE), 1)</f>
        <v>2.1994676280688537E-5</v>
      </c>
      <c r="D3" s="7">
        <f>$B3 * IFERROR(VLOOKUP("transport|PM25|Infant mortality", US_national_yearly!$D:$AM, 12, FALSE) / VLOOKUP("transport|PM25|Infant mortality", US_national_yearly!$D:$AM, 10, FALSE), 1)</f>
        <v>2.1801215976487244E-5</v>
      </c>
      <c r="E3" s="7">
        <f>$B3 * IFERROR(VLOOKUP("transport|PM25|Infant mortality", US_national_yearly!$D:$AM, 13, FALSE) / VLOOKUP("transport|PM25|Infant mortality", US_national_yearly!$D:$AM, 10, FALSE), 1)</f>
        <v>2.1607755672285954E-5</v>
      </c>
      <c r="F3" s="7">
        <f>$B3 * IFERROR(VLOOKUP("transport|PM25|Infant mortality", US_national_yearly!$D:$AM, 14, FALSE) / VLOOKUP("transport|PM25|Infant mortality", US_national_yearly!$D:$AM, 10, FALSE), 1)</f>
        <v>2.1414295368084661E-5</v>
      </c>
      <c r="G3" s="7">
        <f>$B3 * IFERROR(VLOOKUP("transport|PM25|Infant mortality", US_national_yearly!$D:$AM, 15, FALSE) / VLOOKUP("transport|PM25|Infant mortality", US_national_yearly!$D:$AM, 10, FALSE), 1)</f>
        <v>1.4241651912323697E-5</v>
      </c>
      <c r="H3" s="7">
        <f>$B3 * IFERROR(VLOOKUP("transport|PM25|Infant mortality", US_national_yearly!$D:$AM, 16, FALSE) / VLOOKUP("transport|PM25|Infant mortality", US_national_yearly!$D:$AM, 10, FALSE), 1)</f>
        <v>7.0690084565627303E-6</v>
      </c>
      <c r="I3" s="7">
        <f>$B3 * IFERROR(VLOOKUP("transport|PM25|Infant mortality", US_national_yearly!$D:$AM, 17, FALSE) / VLOOKUP("transport|PM25|Infant mortality", US_national_yearly!$D:$AM, 10, FALSE), 1)</f>
        <v>7.0228008093384741E-6</v>
      </c>
      <c r="J3" s="7">
        <f>$B3 * IFERROR(VLOOKUP("transport|PM25|Infant mortality", US_national_yearly!$D:$AM, 18, FALSE) / VLOOKUP("transport|PM25|Infant mortality", US_national_yearly!$D:$AM, 10, FALSE), 1)</f>
        <v>6.976593162114218E-6</v>
      </c>
      <c r="K3" s="7">
        <f>$B3 * IFERROR(VLOOKUP("transport|PM25|Infant mortality", US_national_yearly!$D:$AM, 19, FALSE) / VLOOKUP("transport|PM25|Infant mortality", US_national_yearly!$D:$AM, 10, FALSE), 1)</f>
        <v>6.9303855148899609E-6</v>
      </c>
      <c r="L3" s="7">
        <f>$B3 * IFERROR(VLOOKUP("transport|PM25|Infant mortality", US_national_yearly!$D:$AM, 20, FALSE) / VLOOKUP("transport|PM25|Infant mortality", US_national_yearly!$D:$AM, 10, FALSE), 1)</f>
        <v>6.8841778676657056E-6</v>
      </c>
      <c r="M3" s="7">
        <f>$B3 * IFERROR(VLOOKUP("transport|PM25|Infant mortality", US_national_yearly!$D:$AM, 21, FALSE) / VLOOKUP("transport|PM25|Infant mortality", US_national_yearly!$D:$AM, 10, FALSE), 1)</f>
        <v>6.8379702204414503E-6</v>
      </c>
      <c r="N3" s="7">
        <f>$B3 * IFERROR(VLOOKUP("transport|PM25|Infant mortality", US_national_yearly!$D:$AM, 22, FALSE) / VLOOKUP("transport|PM25|Infant mortality", US_national_yearly!$D:$AM, 10, FALSE), 1)</f>
        <v>6.808946702298449E-6</v>
      </c>
      <c r="O3" s="7">
        <f>$B3 * IFERROR(VLOOKUP("transport|PM25|Infant mortality", US_national_yearly!$D:$AM, 23, FALSE) / VLOOKUP("transport|PM25|Infant mortality", US_national_yearly!$D:$AM, 10, FALSE), 1)</f>
        <v>6.7799231841554487E-6</v>
      </c>
      <c r="P3" s="7">
        <f>$B3 * IFERROR(VLOOKUP("transport|PM25|Infant mortality", US_national_yearly!$D:$AM, 24, FALSE) / VLOOKUP("transport|PM25|Infant mortality", US_national_yearly!$D:$AM, 10, FALSE), 1)</f>
        <v>6.7508996660124458E-6</v>
      </c>
      <c r="Q3" s="7">
        <f>$B3 * IFERROR(VLOOKUP("transport|PM25|Infant mortality", US_national_yearly!$D:$AM, 25, FALSE) / VLOOKUP("transport|PM25|Infant mortality", US_national_yearly!$D:$AM, 10, FALSE), 1)</f>
        <v>6.7218761478694454E-6</v>
      </c>
      <c r="R3" s="7">
        <f>$B3 * IFERROR(VLOOKUP("transport|PM25|Infant mortality", US_national_yearly!$D:$AM, 26, FALSE) / VLOOKUP("transport|PM25|Infant mortality", US_national_yearly!$D:$AM, 10, FALSE), 1)</f>
        <v>6.6928526297264442E-6</v>
      </c>
      <c r="S3" s="7">
        <f>$B3 * IFERROR(VLOOKUP("transport|PM25|Infant mortality", US_national_yearly!$D:$AM, 27, FALSE) / VLOOKUP("transport|PM25|Infant mortality", US_national_yearly!$D:$AM, 10, FALSE), 1)</f>
        <v>6.6566742209289667E-6</v>
      </c>
      <c r="T3" s="7">
        <f>$B3 * IFERROR(VLOOKUP("transport|PM25|Infant mortality", US_national_yearly!$D:$AM, 28, FALSE) / VLOOKUP("transport|PM25|Infant mortality", US_national_yearly!$D:$AM, 10, FALSE), 1)</f>
        <v>6.6204958121314883E-6</v>
      </c>
      <c r="U3" s="7">
        <f>$B3 * IFERROR(VLOOKUP("transport|PM25|Infant mortality", US_national_yearly!$D:$AM, 29, FALSE) / VLOOKUP("transport|PM25|Infant mortality", US_national_yearly!$D:$AM, 10, FALSE), 1)</f>
        <v>6.5843174033340108E-6</v>
      </c>
      <c r="V3" s="7">
        <f>$B3 * IFERROR(VLOOKUP("transport|PM25|Infant mortality", US_national_yearly!$D:$AM, 30, FALSE) / VLOOKUP("transport|PM25|Infant mortality", US_national_yearly!$D:$AM, 10, FALSE), 1)</f>
        <v>6.5481389945365334E-6</v>
      </c>
      <c r="W3" s="7">
        <f>$B3 * IFERROR(VLOOKUP("transport|PM25|Infant mortality", US_national_yearly!$D:$AM, 31, FALSE) / VLOOKUP("transport|PM25|Infant mortality", US_national_yearly!$D:$AM, 10, FALSE), 1)</f>
        <v>6.511960585739055E-6</v>
      </c>
      <c r="X3" s="7">
        <f>$B3 * IFERROR(VLOOKUP("transport|PM25|Infant mortality", US_national_yearly!$D:$AM, 32, FALSE) / VLOOKUP("transport|PM25|Infant mortality", US_national_yearly!$D:$AM, 10, FALSE), 1)</f>
        <v>6.472955713906439E-6</v>
      </c>
      <c r="Y3" s="7">
        <f>$B3 * IFERROR(VLOOKUP("transport|PM25|Infant mortality", US_national_yearly!$D:$AM, 33, FALSE) / VLOOKUP("transport|PM25|Infant mortality", US_national_yearly!$D:$AM, 10, FALSE), 1)</f>
        <v>6.4339508420738205E-6</v>
      </c>
      <c r="Z3" s="7">
        <f>$B3 * IFERROR(VLOOKUP("transport|PM25|Infant mortality", US_national_yearly!$D:$AM, 34, FALSE) / VLOOKUP("transport|PM25|Infant mortality", US_national_yearly!$D:$AM, 10, FALSE), 1)</f>
        <v>6.3949459702412054E-6</v>
      </c>
      <c r="AA3" s="7">
        <f>$B3 * IFERROR(VLOOKUP("transport|PM25|Infant mortality", US_national_yearly!$D:$AM, 35, FALSE) / VLOOKUP("transport|PM25|Infant mortality", US_national_yearly!$D:$AM, 10, FALSE), 1)</f>
        <v>6.3559410984085877E-6</v>
      </c>
      <c r="AB3" s="7">
        <f>$B3 * IFERROR(VLOOKUP("transport|PM25|Infant mortality", US_national_yearly!$D:$AM, 36, FALSE) / VLOOKUP("transport|PM25|Infant mortality", US_national_yearly!$D:$AM, 10, FALSE), 1)</f>
        <v>6.3169362265759726E-6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2.4815146960568298E-2</v>
      </c>
      <c r="C6" s="7">
        <f>$B6 * IFERROR(VLOOKUP("transport|PM25|Asthma symptoms cough", US_national_yearly!$D:$AM, 11, FALSE) / VLOOKUP("transport|PM25|Asthma symptoms cough", US_national_yearly!$D:$AM, 10, FALSE), 1)</f>
        <v>2.4815146960568298E-2</v>
      </c>
      <c r="D6" s="7">
        <f>$B6 * IFERROR(VLOOKUP("transport|PM25|Asthma symptoms cough", US_national_yearly!$D:$AM, 12, FALSE) / VLOOKUP("transport|PM25|Asthma symptoms cough", US_national_yearly!$D:$AM, 10, FALSE), 1)</f>
        <v>2.4815146960568298E-2</v>
      </c>
      <c r="E6" s="7">
        <f>$B6 * IFERROR(VLOOKUP("transport|PM25|Asthma symptoms cough", US_national_yearly!$D:$AM, 13, FALSE) / VLOOKUP("transport|PM25|Asthma symptoms cough", US_national_yearly!$D:$AM, 10, FALSE), 1)</f>
        <v>2.4815146960568298E-2</v>
      </c>
      <c r="F6" s="7">
        <f>$B6 * IFERROR(VLOOKUP("transport|PM25|Asthma symptoms cough", US_national_yearly!$D:$AM, 14, FALSE) / VLOOKUP("transport|PM25|Asthma symptoms cough", US_national_yearly!$D:$AM, 10, FALSE), 1)</f>
        <v>2.4815146960568298E-2</v>
      </c>
      <c r="G6" s="7">
        <f>$B6 * IFERROR(VLOOKUP("transport|PM25|Asthma symptoms cough", US_national_yearly!$D:$AM, 15, FALSE) / VLOOKUP("transport|PM25|Asthma symptoms cough", US_national_yearly!$D:$AM, 10, FALSE), 1)</f>
        <v>2.4815146960568298E-2</v>
      </c>
      <c r="H6" s="7">
        <f>$B6 * IFERROR(VLOOKUP("transport|PM25|Asthma symptoms cough", US_national_yearly!$D:$AM, 16, FALSE) / VLOOKUP("transport|PM25|Asthma symptoms cough", US_national_yearly!$D:$AM, 10, FALSE), 1)</f>
        <v>2.4815146960568298E-2</v>
      </c>
      <c r="I6" s="7">
        <f>$B6 * IFERROR(VLOOKUP("transport|PM25|Asthma symptoms cough", US_national_yearly!$D:$AM, 17, FALSE) / VLOOKUP("transport|PM25|Asthma symptoms cough", US_national_yearly!$D:$AM, 10, FALSE), 1)</f>
        <v>2.4815146960568298E-2</v>
      </c>
      <c r="J6" s="7">
        <f>$B6 * IFERROR(VLOOKUP("transport|PM25|Asthma symptoms cough", US_national_yearly!$D:$AM, 18, FALSE) / VLOOKUP("transport|PM25|Asthma symptoms cough", US_national_yearly!$D:$AM, 10, FALSE), 1)</f>
        <v>2.4815146960568298E-2</v>
      </c>
      <c r="K6" s="7">
        <f>$B6 * IFERROR(VLOOKUP("transport|PM25|Asthma symptoms cough", US_national_yearly!$D:$AM, 19, FALSE) / VLOOKUP("transport|PM25|Asthma symptoms cough", US_national_yearly!$D:$AM, 10, FALSE), 1)</f>
        <v>2.4815146960568298E-2</v>
      </c>
      <c r="L6" s="7">
        <f>$B6 * IFERROR(VLOOKUP("transport|PM25|Asthma symptoms cough", US_national_yearly!$D:$AM, 20, FALSE) / VLOOKUP("transport|PM25|Asthma symptoms cough", US_national_yearly!$D:$AM, 10, FALSE), 1)</f>
        <v>2.4815146960568298E-2</v>
      </c>
      <c r="M6" s="7">
        <f>$B6 * IFERROR(VLOOKUP("transport|PM25|Asthma symptoms cough", US_national_yearly!$D:$AM, 21, FALSE) / VLOOKUP("transport|PM25|Asthma symptoms cough", US_national_yearly!$D:$AM, 10, FALSE), 1)</f>
        <v>2.4815146960568298E-2</v>
      </c>
      <c r="N6" s="7">
        <f>$B6 * IFERROR(VLOOKUP("transport|PM25|Asthma symptoms cough", US_national_yearly!$D:$AM, 22, FALSE) / VLOOKUP("transport|PM25|Asthma symptoms cough", US_national_yearly!$D:$AM, 10, FALSE), 1)</f>
        <v>2.4815146960568298E-2</v>
      </c>
      <c r="O6" s="7">
        <f>$B6 * IFERROR(VLOOKUP("transport|PM25|Asthma symptoms cough", US_national_yearly!$D:$AM, 23, FALSE) / VLOOKUP("transport|PM25|Asthma symptoms cough", US_national_yearly!$D:$AM, 10, FALSE), 1)</f>
        <v>2.4815146960568298E-2</v>
      </c>
      <c r="P6" s="7">
        <f>$B6 * IFERROR(VLOOKUP("transport|PM25|Asthma symptoms cough", US_national_yearly!$D:$AM, 24, FALSE) / VLOOKUP("transport|PM25|Asthma symptoms cough", US_national_yearly!$D:$AM, 10, FALSE), 1)</f>
        <v>2.4815146960568298E-2</v>
      </c>
      <c r="Q6" s="7">
        <f>$B6 * IFERROR(VLOOKUP("transport|PM25|Asthma symptoms cough", US_national_yearly!$D:$AM, 25, FALSE) / VLOOKUP("transport|PM25|Asthma symptoms cough", US_national_yearly!$D:$AM, 10, FALSE), 1)</f>
        <v>2.4815146960568298E-2</v>
      </c>
      <c r="R6" s="7">
        <f>$B6 * IFERROR(VLOOKUP("transport|PM25|Asthma symptoms cough", US_national_yearly!$D:$AM, 26, FALSE) / VLOOKUP("transport|PM25|Asthma symptoms cough", US_national_yearly!$D:$AM, 10, FALSE), 1)</f>
        <v>2.4815146960568298E-2</v>
      </c>
      <c r="S6" s="7">
        <f>$B6 * IFERROR(VLOOKUP("transport|PM25|Asthma symptoms cough", US_national_yearly!$D:$AM, 27, FALSE) / VLOOKUP("transport|PM25|Asthma symptoms cough", US_national_yearly!$D:$AM, 10, FALSE), 1)</f>
        <v>2.4815146960568298E-2</v>
      </c>
      <c r="T6" s="7">
        <f>$B6 * IFERROR(VLOOKUP("transport|PM25|Asthma symptoms cough", US_national_yearly!$D:$AM, 28, FALSE) / VLOOKUP("transport|PM25|Asthma symptoms cough", US_national_yearly!$D:$AM, 10, FALSE), 1)</f>
        <v>2.4815146960568298E-2</v>
      </c>
      <c r="U6" s="7">
        <f>$B6 * IFERROR(VLOOKUP("transport|PM25|Asthma symptoms cough", US_national_yearly!$D:$AM, 29, FALSE) / VLOOKUP("transport|PM25|Asthma symptoms cough", US_national_yearly!$D:$AM, 10, FALSE), 1)</f>
        <v>2.4815146960568298E-2</v>
      </c>
      <c r="V6" s="7">
        <f>$B6 * IFERROR(VLOOKUP("transport|PM25|Asthma symptoms cough", US_national_yearly!$D:$AM, 30, FALSE) / VLOOKUP("transport|PM25|Asthma symptoms cough", US_national_yearly!$D:$AM, 10, FALSE), 1)</f>
        <v>2.4815146960568298E-2</v>
      </c>
      <c r="W6" s="7">
        <f>$B6 * IFERROR(VLOOKUP("transport|PM25|Asthma symptoms cough", US_national_yearly!$D:$AM, 31, FALSE) / VLOOKUP("transport|PM25|Asthma symptoms cough", US_national_yearly!$D:$AM, 10, FALSE), 1)</f>
        <v>2.4815146960568298E-2</v>
      </c>
      <c r="X6" s="7">
        <f>$B6 * IFERROR(VLOOKUP("transport|PM25|Asthma symptoms cough", US_national_yearly!$D:$AM, 32, FALSE) / VLOOKUP("transport|PM25|Asthma symptoms cough", US_national_yearly!$D:$AM, 10, FALSE), 1)</f>
        <v>2.4815146960568298E-2</v>
      </c>
      <c r="Y6" s="7">
        <f>$B6 * IFERROR(VLOOKUP("transport|PM25|Asthma symptoms cough", US_national_yearly!$D:$AM, 33, FALSE) / VLOOKUP("transport|PM25|Asthma symptoms cough", US_national_yearly!$D:$AM, 10, FALSE), 1)</f>
        <v>2.4815146960568298E-2</v>
      </c>
      <c r="Z6" s="7">
        <f>$B6 * IFERROR(VLOOKUP("transport|PM25|Asthma symptoms cough", US_national_yearly!$D:$AM, 34, FALSE) / VLOOKUP("transport|PM25|Asthma symptoms cough", US_national_yearly!$D:$AM, 10, FALSE), 1)</f>
        <v>2.4815146960568298E-2</v>
      </c>
      <c r="AA6" s="7">
        <f>$B6 * IFERROR(VLOOKUP("transport|PM25|Asthma symptoms cough", US_national_yearly!$D:$AM, 35, FALSE) / VLOOKUP("transport|PM25|Asthma symptoms cough", US_national_yearly!$D:$AM, 10, FALSE), 1)</f>
        <v>2.4815146960568298E-2</v>
      </c>
      <c r="AB6" s="7">
        <f>$B6 * IFERROR(VLOOKUP("transport|PM25|Asthma symptoms cough", US_national_yearly!$D:$AM, 36, FALSE) / VLOOKUP("transport|PM25|Asthma symptoms cough", US_national_yearly!$D:$AM, 10, FALSE), 1)</f>
        <v>2.4815146960568298E-2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3.3416941089029123E-2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3.3416941089029123E-2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3.3416941089029123E-2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3.3416941089029123E-2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3.3416941089029123E-2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3.3416941089029123E-2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3.3416941089029123E-2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3.3416941089029123E-2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3.3416941089029123E-2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3.3416941089029123E-2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3.3416941089029123E-2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3.3416941089029123E-2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3.3416941089029123E-2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3.3416941089029123E-2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3.3416941089029123E-2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3.3416941089029123E-2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3.3416941089029123E-2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3.3416941089029123E-2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3.3416941089029123E-2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3.3416941089029123E-2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3.3416941089029123E-2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3.3416941089029123E-2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3.3416941089029123E-2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3.3416941089029123E-2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3.3416941089029123E-2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3.3416941089029123E-2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3.3416941089029123E-2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5.105633242656353E-2</v>
      </c>
      <c r="C8" s="7">
        <f>$B8 * IFERROR(VLOOKUP("transport|PM25|Asthma symptoms wheeze", US_national_yearly!$D:$AM, 11, FALSE) / VLOOKUP("transport|PM25|Asthma symptoms wheeze", US_national_yearly!$D:$AM, 10, FALSE), 1)</f>
        <v>5.105633242656353E-2</v>
      </c>
      <c r="D8" s="7">
        <f>$B8 * IFERROR(VLOOKUP("transport|PM25|Asthma symptoms wheeze", US_national_yearly!$D:$AM, 12, FALSE) / VLOOKUP("transport|PM25|Asthma symptoms wheeze", US_national_yearly!$D:$AM, 10, FALSE), 1)</f>
        <v>5.105633242656353E-2</v>
      </c>
      <c r="E8" s="7">
        <f>$B8 * IFERROR(VLOOKUP("transport|PM25|Asthma symptoms wheeze", US_national_yearly!$D:$AM, 13, FALSE) / VLOOKUP("transport|PM25|Asthma symptoms wheeze", US_national_yearly!$D:$AM, 10, FALSE), 1)</f>
        <v>5.105633242656353E-2</v>
      </c>
      <c r="F8" s="7">
        <f>$B8 * IFERROR(VLOOKUP("transport|PM25|Asthma symptoms wheeze", US_national_yearly!$D:$AM, 14, FALSE) / VLOOKUP("transport|PM25|Asthma symptoms wheeze", US_national_yearly!$D:$AM, 10, FALSE), 1)</f>
        <v>5.105633242656353E-2</v>
      </c>
      <c r="G8" s="7">
        <f>$B8 * IFERROR(VLOOKUP("transport|PM25|Asthma symptoms wheeze", US_national_yearly!$D:$AM, 15, FALSE) / VLOOKUP("transport|PM25|Asthma symptoms wheeze", US_national_yearly!$D:$AM, 10, FALSE), 1)</f>
        <v>5.105633242656353E-2</v>
      </c>
      <c r="H8" s="7">
        <f>$B8 * IFERROR(VLOOKUP("transport|PM25|Asthma symptoms wheeze", US_national_yearly!$D:$AM, 16, FALSE) / VLOOKUP("transport|PM25|Asthma symptoms wheeze", US_national_yearly!$D:$AM, 10, FALSE), 1)</f>
        <v>5.105633242656353E-2</v>
      </c>
      <c r="I8" s="7">
        <f>$B8 * IFERROR(VLOOKUP("transport|PM25|Asthma symptoms wheeze", US_national_yearly!$D:$AM, 17, FALSE) / VLOOKUP("transport|PM25|Asthma symptoms wheeze", US_national_yearly!$D:$AM, 10, FALSE), 1)</f>
        <v>5.105633242656353E-2</v>
      </c>
      <c r="J8" s="7">
        <f>$B8 * IFERROR(VLOOKUP("transport|PM25|Asthma symptoms wheeze", US_national_yearly!$D:$AM, 18, FALSE) / VLOOKUP("transport|PM25|Asthma symptoms wheeze", US_national_yearly!$D:$AM, 10, FALSE), 1)</f>
        <v>5.105633242656353E-2</v>
      </c>
      <c r="K8" s="7">
        <f>$B8 * IFERROR(VLOOKUP("transport|PM25|Asthma symptoms wheeze", US_national_yearly!$D:$AM, 19, FALSE) / VLOOKUP("transport|PM25|Asthma symptoms wheeze", US_national_yearly!$D:$AM, 10, FALSE), 1)</f>
        <v>5.105633242656353E-2</v>
      </c>
      <c r="L8" s="7">
        <f>$B8 * IFERROR(VLOOKUP("transport|PM25|Asthma symptoms wheeze", US_national_yearly!$D:$AM, 20, FALSE) / VLOOKUP("transport|PM25|Asthma symptoms wheeze", US_national_yearly!$D:$AM, 10, FALSE), 1)</f>
        <v>5.105633242656353E-2</v>
      </c>
      <c r="M8" s="7">
        <f>$B8 * IFERROR(VLOOKUP("transport|PM25|Asthma symptoms wheeze", US_national_yearly!$D:$AM, 21, FALSE) / VLOOKUP("transport|PM25|Asthma symptoms wheeze", US_national_yearly!$D:$AM, 10, FALSE), 1)</f>
        <v>5.105633242656353E-2</v>
      </c>
      <c r="N8" s="7">
        <f>$B8 * IFERROR(VLOOKUP("transport|PM25|Asthma symptoms wheeze", US_national_yearly!$D:$AM, 22, FALSE) / VLOOKUP("transport|PM25|Asthma symptoms wheeze", US_national_yearly!$D:$AM, 10, FALSE), 1)</f>
        <v>5.105633242656353E-2</v>
      </c>
      <c r="O8" s="7">
        <f>$B8 * IFERROR(VLOOKUP("transport|PM25|Asthma symptoms wheeze", US_national_yearly!$D:$AM, 23, FALSE) / VLOOKUP("transport|PM25|Asthma symptoms wheeze", US_national_yearly!$D:$AM, 10, FALSE), 1)</f>
        <v>5.105633242656353E-2</v>
      </c>
      <c r="P8" s="7">
        <f>$B8 * IFERROR(VLOOKUP("transport|PM25|Asthma symptoms wheeze", US_national_yearly!$D:$AM, 24, FALSE) / VLOOKUP("transport|PM25|Asthma symptoms wheeze", US_national_yearly!$D:$AM, 10, FALSE), 1)</f>
        <v>5.105633242656353E-2</v>
      </c>
      <c r="Q8" s="7">
        <f>$B8 * IFERROR(VLOOKUP("transport|PM25|Asthma symptoms wheeze", US_national_yearly!$D:$AM, 25, FALSE) / VLOOKUP("transport|PM25|Asthma symptoms wheeze", US_national_yearly!$D:$AM, 10, FALSE), 1)</f>
        <v>5.105633242656353E-2</v>
      </c>
      <c r="R8" s="7">
        <f>$B8 * IFERROR(VLOOKUP("transport|PM25|Asthma symptoms wheeze", US_national_yearly!$D:$AM, 26, FALSE) / VLOOKUP("transport|PM25|Asthma symptoms wheeze", US_national_yearly!$D:$AM, 10, FALSE), 1)</f>
        <v>5.105633242656353E-2</v>
      </c>
      <c r="S8" s="7">
        <f>$B8 * IFERROR(VLOOKUP("transport|PM25|Asthma symptoms wheeze", US_national_yearly!$D:$AM, 27, FALSE) / VLOOKUP("transport|PM25|Asthma symptoms wheeze", US_national_yearly!$D:$AM, 10, FALSE), 1)</f>
        <v>5.105633242656353E-2</v>
      </c>
      <c r="T8" s="7">
        <f>$B8 * IFERROR(VLOOKUP("transport|PM25|Asthma symptoms wheeze", US_national_yearly!$D:$AM, 28, FALSE) / VLOOKUP("transport|PM25|Asthma symptoms wheeze", US_national_yearly!$D:$AM, 10, FALSE), 1)</f>
        <v>5.105633242656353E-2</v>
      </c>
      <c r="U8" s="7">
        <f>$B8 * IFERROR(VLOOKUP("transport|PM25|Asthma symptoms wheeze", US_national_yearly!$D:$AM, 29, FALSE) / VLOOKUP("transport|PM25|Asthma symptoms wheeze", US_national_yearly!$D:$AM, 10, FALSE), 1)</f>
        <v>5.105633242656353E-2</v>
      </c>
      <c r="V8" s="7">
        <f>$B8 * IFERROR(VLOOKUP("transport|PM25|Asthma symptoms wheeze", US_national_yearly!$D:$AM, 30, FALSE) / VLOOKUP("transport|PM25|Asthma symptoms wheeze", US_national_yearly!$D:$AM, 10, FALSE), 1)</f>
        <v>5.105633242656353E-2</v>
      </c>
      <c r="W8" s="7">
        <f>$B8 * IFERROR(VLOOKUP("transport|PM25|Asthma symptoms wheeze", US_national_yearly!$D:$AM, 31, FALSE) / VLOOKUP("transport|PM25|Asthma symptoms wheeze", US_national_yearly!$D:$AM, 10, FALSE), 1)</f>
        <v>5.105633242656353E-2</v>
      </c>
      <c r="X8" s="7">
        <f>$B8 * IFERROR(VLOOKUP("transport|PM25|Asthma symptoms wheeze", US_national_yearly!$D:$AM, 32, FALSE) / VLOOKUP("transport|PM25|Asthma symptoms wheeze", US_national_yearly!$D:$AM, 10, FALSE), 1)</f>
        <v>5.105633242656353E-2</v>
      </c>
      <c r="Y8" s="7">
        <f>$B8 * IFERROR(VLOOKUP("transport|PM25|Asthma symptoms wheeze", US_national_yearly!$D:$AM, 33, FALSE) / VLOOKUP("transport|PM25|Asthma symptoms wheeze", US_national_yearly!$D:$AM, 10, FALSE), 1)</f>
        <v>5.105633242656353E-2</v>
      </c>
      <c r="Z8" s="7">
        <f>$B8 * IFERROR(VLOOKUP("transport|PM25|Asthma symptoms wheeze", US_national_yearly!$D:$AM, 34, FALSE) / VLOOKUP("transport|PM25|Asthma symptoms wheeze", US_national_yearly!$D:$AM, 10, FALSE), 1)</f>
        <v>5.105633242656353E-2</v>
      </c>
      <c r="AA8" s="7">
        <f>$B8 * IFERROR(VLOOKUP("transport|PM25|Asthma symptoms wheeze", US_national_yearly!$D:$AM, 35, FALSE) / VLOOKUP("transport|PM25|Asthma symptoms wheeze", US_national_yearly!$D:$AM, 10, FALSE), 1)</f>
        <v>5.105633242656353E-2</v>
      </c>
      <c r="AB8" s="7">
        <f>$B8 * IFERROR(VLOOKUP("transport|PM25|Asthma symptoms wheeze", US_national_yearly!$D:$AM, 36, FALSE) / VLOOKUP("transport|PM25|Asthma symptoms wheeze", US_national_yearly!$D:$AM, 10, FALSE), 1)</f>
        <v>5.105633242656353E-2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7.7741476398268965E-4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7.8187059206741294E-4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7.8632642015213602E-4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7.907822482368592E-4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7.9523807632158228E-4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8.0005056071765868E-4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8.0486304511373497E-4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8.0946119111100238E-4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8.1405933710827012E-4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8.1865748310553765E-4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8.2325562910280539E-4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8.2785377510007281E-4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8.3115399866462208E-4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8.3445422222917114E-4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8.3775444579371999E-4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8.4105466935826916E-4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8.4435489292281833E-4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8.4749714061969905E-4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8.5063938831657999E-4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8.5378163601346072E-4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8.5692388371034134E-4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8.6006613140722206E-4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8.6308901377466776E-4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8.6611189614211302E-4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8.691347785095585E-4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8.7215766087700387E-4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8.7518054324444935E-4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3.7086378668673169E-3</v>
      </c>
      <c r="C13" s="7">
        <f>$B13 * IFERROR(VLOOKUP("transport|PM25|Non-fatal heart attacks", US_national_yearly!$D:$AM, 11, FALSE) / VLOOKUP("transport|PM25|Non-fatal heart attacks", US_national_yearly!$D:$AM, 10, FALSE), 1)</f>
        <v>3.8164578112556782E-3</v>
      </c>
      <c r="D13" s="7">
        <f>$B13 * IFERROR(VLOOKUP("transport|PM25|Non-fatal heart attacks", US_national_yearly!$D:$AM, 12, FALSE) / VLOOKUP("transport|PM25|Non-fatal heart attacks", US_national_yearly!$D:$AM, 10, FALSE), 1)</f>
        <v>3.9242777556440398E-3</v>
      </c>
      <c r="E13" s="7">
        <f>$B13 * IFERROR(VLOOKUP("transport|PM25|Non-fatal heart attacks", US_national_yearly!$D:$AM, 13, FALSE) / VLOOKUP("transport|PM25|Non-fatal heart attacks", US_national_yearly!$D:$AM, 10, FALSE), 1)</f>
        <v>4.0320977000324002E-3</v>
      </c>
      <c r="F13" s="7">
        <f>$B13 * IFERROR(VLOOKUP("transport|PM25|Non-fatal heart attacks", US_national_yearly!$D:$AM, 14, FALSE) / VLOOKUP("transport|PM25|Non-fatal heart attacks", US_national_yearly!$D:$AM, 10, FALSE), 1)</f>
        <v>4.1399176444207623E-3</v>
      </c>
      <c r="G13" s="7">
        <f>$B13 * IFERROR(VLOOKUP("transport|PM25|Non-fatal heart attacks", US_national_yearly!$D:$AM, 15, FALSE) / VLOOKUP("transport|PM25|Non-fatal heart attacks", US_national_yearly!$D:$AM, 10, FALSE), 1)</f>
        <v>4.2415986682237238E-3</v>
      </c>
      <c r="H13" s="7">
        <f>$B13 * IFERROR(VLOOKUP("transport|PM25|Non-fatal heart attacks", US_national_yearly!$D:$AM, 16, FALSE) / VLOOKUP("transport|PM25|Non-fatal heart attacks", US_national_yearly!$D:$AM, 10, FALSE), 1)</f>
        <v>4.3432796920266845E-3</v>
      </c>
      <c r="I13" s="7">
        <f>$B13 * IFERROR(VLOOKUP("transport|PM25|Non-fatal heart attacks", US_national_yearly!$D:$AM, 17, FALSE) / VLOOKUP("transport|PM25|Non-fatal heart attacks", US_national_yearly!$D:$AM, 10, FALSE), 1)</f>
        <v>4.4249974002946212E-3</v>
      </c>
      <c r="J13" s="7">
        <f>$B13 * IFERROR(VLOOKUP("transport|PM25|Non-fatal heart attacks", US_national_yearly!$D:$AM, 18, FALSE) / VLOOKUP("transport|PM25|Non-fatal heart attacks", US_national_yearly!$D:$AM, 10, FALSE), 1)</f>
        <v>4.5067151085625579E-3</v>
      </c>
      <c r="K13" s="7">
        <f>$B13 * IFERROR(VLOOKUP("transport|PM25|Non-fatal heart attacks", US_national_yearly!$D:$AM, 19, FALSE) / VLOOKUP("transport|PM25|Non-fatal heart attacks", US_national_yearly!$D:$AM, 10, FALSE), 1)</f>
        <v>4.5884328168304947E-3</v>
      </c>
      <c r="L13" s="7">
        <f>$B13 * IFERROR(VLOOKUP("transport|PM25|Non-fatal heart attacks", US_national_yearly!$D:$AM, 20, FALSE) / VLOOKUP("transport|PM25|Non-fatal heart attacks", US_national_yearly!$D:$AM, 10, FALSE), 1)</f>
        <v>4.6701505250984314E-3</v>
      </c>
      <c r="M13" s="7">
        <f>$B13 * IFERROR(VLOOKUP("transport|PM25|Non-fatal heart attacks", US_national_yearly!$D:$AM, 21, FALSE) / VLOOKUP("transport|PM25|Non-fatal heart attacks", US_national_yearly!$D:$AM, 10, FALSE), 1)</f>
        <v>4.751868233366369E-3</v>
      </c>
      <c r="N13" s="7">
        <f>$B13 * IFERROR(VLOOKUP("transport|PM25|Non-fatal heart attacks", US_national_yearly!$D:$AM, 22, FALSE) / VLOOKUP("transport|PM25|Non-fatal heart attacks", US_national_yearly!$D:$AM, 10, FALSE), 1)</f>
        <v>4.804568085944887E-3</v>
      </c>
      <c r="O13" s="7">
        <f>$B13 * IFERROR(VLOOKUP("transport|PM25|Non-fatal heart attacks", US_national_yearly!$D:$AM, 23, FALSE) / VLOOKUP("transport|PM25|Non-fatal heart attacks", US_national_yearly!$D:$AM, 10, FALSE), 1)</f>
        <v>4.8572679385234059E-3</v>
      </c>
      <c r="P13" s="7">
        <f>$B13 * IFERROR(VLOOKUP("transport|PM25|Non-fatal heart attacks", US_national_yearly!$D:$AM, 24, FALSE) / VLOOKUP("transport|PM25|Non-fatal heart attacks", US_national_yearly!$D:$AM, 10, FALSE), 1)</f>
        <v>4.9099677911019256E-3</v>
      </c>
      <c r="Q13" s="7">
        <f>$B13 * IFERROR(VLOOKUP("transport|PM25|Non-fatal heart attacks", US_national_yearly!$D:$AM, 25, FALSE) / VLOOKUP("transport|PM25|Non-fatal heart attacks", US_national_yearly!$D:$AM, 10, FALSE), 1)</f>
        <v>4.9626676436804436E-3</v>
      </c>
      <c r="R13" s="7">
        <f>$B13 * IFERROR(VLOOKUP("transport|PM25|Non-fatal heart attacks", US_national_yearly!$D:$AM, 26, FALSE) / VLOOKUP("transport|PM25|Non-fatal heart attacks", US_national_yearly!$D:$AM, 10, FALSE), 1)</f>
        <v>5.0153674962589625E-3</v>
      </c>
      <c r="S13" s="7">
        <f>$B13 * IFERROR(VLOOKUP("transport|PM25|Non-fatal heart attacks", US_national_yearly!$D:$AM, 27, FALSE) / VLOOKUP("transport|PM25|Non-fatal heart attacks", US_national_yearly!$D:$AM, 10, FALSE), 1)</f>
        <v>5.0431207442501076E-3</v>
      </c>
      <c r="T13" s="7">
        <f>$B13 * IFERROR(VLOOKUP("transport|PM25|Non-fatal heart attacks", US_national_yearly!$D:$AM, 28, FALSE) / VLOOKUP("transport|PM25|Non-fatal heart attacks", US_national_yearly!$D:$AM, 10, FALSE), 1)</f>
        <v>5.0708739922412545E-3</v>
      </c>
      <c r="U13" s="7">
        <f>$B13 * IFERROR(VLOOKUP("transport|PM25|Non-fatal heart attacks", US_national_yearly!$D:$AM, 29, FALSE) / VLOOKUP("transport|PM25|Non-fatal heart attacks", US_national_yearly!$D:$AM, 10, FALSE), 1)</f>
        <v>5.0986272402324014E-3</v>
      </c>
      <c r="V13" s="7">
        <f>$B13 * IFERROR(VLOOKUP("transport|PM25|Non-fatal heart attacks", US_national_yearly!$D:$AM, 30, FALSE) / VLOOKUP("transport|PM25|Non-fatal heart attacks", US_national_yearly!$D:$AM, 10, FALSE), 1)</f>
        <v>5.1263804882235482E-3</v>
      </c>
      <c r="W13" s="7">
        <f>$B13 * IFERROR(VLOOKUP("transport|PM25|Non-fatal heart attacks", US_national_yearly!$D:$AM, 31, FALSE) / VLOOKUP("transport|PM25|Non-fatal heart attacks", US_national_yearly!$D:$AM, 10, FALSE), 1)</f>
        <v>5.1541337362146942E-3</v>
      </c>
      <c r="X13" s="7">
        <f>$B13 * IFERROR(VLOOKUP("transport|PM25|Non-fatal heart attacks", US_national_yearly!$D:$AM, 32, FALSE) / VLOOKUP("transport|PM25|Non-fatal heart attacks", US_national_yearly!$D:$AM, 10, FALSE), 1)</f>
        <v>5.1752024644771575E-3</v>
      </c>
      <c r="Y13" s="7">
        <f>$B13 * IFERROR(VLOOKUP("transport|PM25|Non-fatal heart attacks", US_national_yearly!$D:$AM, 33, FALSE) / VLOOKUP("transport|PM25|Non-fatal heart attacks", US_national_yearly!$D:$AM, 10, FALSE), 1)</f>
        <v>5.1962711927396217E-3</v>
      </c>
      <c r="Z13" s="7">
        <f>$B13 * IFERROR(VLOOKUP("transport|PM25|Non-fatal heart attacks", US_national_yearly!$D:$AM, 34, FALSE) / VLOOKUP("transport|PM25|Non-fatal heart attacks", US_national_yearly!$D:$AM, 10, FALSE), 1)</f>
        <v>5.2173399210020859E-3</v>
      </c>
      <c r="AA13" s="7">
        <f>$B13 * IFERROR(VLOOKUP("transport|PM25|Non-fatal heart attacks", US_national_yearly!$D:$AM, 35, FALSE) / VLOOKUP("transport|PM25|Non-fatal heart attacks", US_national_yearly!$D:$AM, 10, FALSE), 1)</f>
        <v>5.2384086492645501E-3</v>
      </c>
      <c r="AB13" s="7">
        <f>$B13 * IFERROR(VLOOKUP("transport|PM25|Non-fatal heart attacks", US_national_yearly!$D:$AM, 36, FALSE) / VLOOKUP("transport|PM25|Non-fatal heart attacks", US_national_yearly!$D:$AM, 10, FALSE), 1)</f>
        <v>5.2594773775270134E-3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3.4395517921321246</v>
      </c>
      <c r="C14" s="7">
        <f>$B14 * IFERROR(VLOOKUP("transport|PM25|Minor restricted activity days", US_national_yearly!$D:$AM, 11, FALSE) / VLOOKUP("transport|PM25|Minor restricted activity days", US_national_yearly!$D:$AM, 10, FALSE), 1)</f>
        <v>3.4479515855079983</v>
      </c>
      <c r="D14" s="7">
        <f>$B14 * IFERROR(VLOOKUP("transport|PM25|Minor restricted activity days", US_national_yearly!$D:$AM, 12, FALSE) / VLOOKUP("transport|PM25|Minor restricted activity days", US_national_yearly!$D:$AM, 10, FALSE), 1)</f>
        <v>3.456351378883872</v>
      </c>
      <c r="E14" s="7">
        <f>$B14 * IFERROR(VLOOKUP("transport|PM25|Minor restricted activity days", US_national_yearly!$D:$AM, 13, FALSE) / VLOOKUP("transport|PM25|Minor restricted activity days", US_national_yearly!$D:$AM, 10, FALSE), 1)</f>
        <v>3.4647511722597462</v>
      </c>
      <c r="F14" s="7">
        <f>$B14 * IFERROR(VLOOKUP("transport|PM25|Minor restricted activity days", US_national_yearly!$D:$AM, 14, FALSE) / VLOOKUP("transport|PM25|Minor restricted activity days", US_national_yearly!$D:$AM, 10, FALSE), 1)</f>
        <v>3.4731509656356194</v>
      </c>
      <c r="G14" s="7">
        <f>$B14 * IFERROR(VLOOKUP("transport|PM25|Minor restricted activity days", US_national_yearly!$D:$AM, 15, FALSE) / VLOOKUP("transport|PM25|Minor restricted activity days", US_national_yearly!$D:$AM, 10, FALSE), 1)</f>
        <v>3.4855446093776896</v>
      </c>
      <c r="H14" s="7">
        <f>$B14 * IFERROR(VLOOKUP("transport|PM25|Minor restricted activity days", US_national_yearly!$D:$AM, 16, FALSE) / VLOOKUP("transport|PM25|Minor restricted activity days", US_national_yearly!$D:$AM, 10, FALSE), 1)</f>
        <v>3.4979382531197598</v>
      </c>
      <c r="I14" s="7">
        <f>$B14 * IFERROR(VLOOKUP("transport|PM25|Minor restricted activity days", US_national_yearly!$D:$AM, 17, FALSE) / VLOOKUP("transport|PM25|Minor restricted activity days", US_national_yearly!$D:$AM, 10, FALSE), 1)</f>
        <v>3.5191257085077172</v>
      </c>
      <c r="J14" s="7">
        <f>$B14 * IFERROR(VLOOKUP("transport|PM25|Minor restricted activity days", US_national_yearly!$D:$AM, 18, FALSE) / VLOOKUP("transport|PM25|Minor restricted activity days", US_national_yearly!$D:$AM, 10, FALSE), 1)</f>
        <v>3.5403131638956733</v>
      </c>
      <c r="K14" s="7">
        <f>$B14 * IFERROR(VLOOKUP("transport|PM25|Minor restricted activity days", US_national_yearly!$D:$AM, 19, FALSE) / VLOOKUP("transport|PM25|Minor restricted activity days", US_national_yearly!$D:$AM, 10, FALSE), 1)</f>
        <v>3.5615006192836307</v>
      </c>
      <c r="L14" s="7">
        <f>$B14 * IFERROR(VLOOKUP("transport|PM25|Minor restricted activity days", US_national_yearly!$D:$AM, 20, FALSE) / VLOOKUP("transport|PM25|Minor restricted activity days", US_national_yearly!$D:$AM, 10, FALSE), 1)</f>
        <v>3.5826880746715877</v>
      </c>
      <c r="M14" s="7">
        <f>$B14 * IFERROR(VLOOKUP("transport|PM25|Minor restricted activity days", US_national_yearly!$D:$AM, 21, FALSE) / VLOOKUP("transport|PM25|Minor restricted activity days", US_national_yearly!$D:$AM, 10, FALSE), 1)</f>
        <v>3.6038755300595446</v>
      </c>
      <c r="N14" s="7">
        <f>$B14 * IFERROR(VLOOKUP("transport|PM25|Minor restricted activity days", US_national_yearly!$D:$AM, 22, FALSE) / VLOOKUP("transport|PM25|Minor restricted activity days", US_national_yearly!$D:$AM, 10, FALSE), 1)</f>
        <v>3.6327370627128075</v>
      </c>
      <c r="O14" s="7">
        <f>$B14 * IFERROR(VLOOKUP("transport|PM25|Minor restricted activity days", US_national_yearly!$D:$AM, 23, FALSE) / VLOOKUP("transport|PM25|Minor restricted activity days", US_national_yearly!$D:$AM, 10, FALSE), 1)</f>
        <v>3.6615985953660699</v>
      </c>
      <c r="P14" s="7">
        <f>$B14 * IFERROR(VLOOKUP("transport|PM25|Minor restricted activity days", US_national_yearly!$D:$AM, 24, FALSE) / VLOOKUP("transport|PM25|Minor restricted activity days", US_national_yearly!$D:$AM, 10, FALSE), 1)</f>
        <v>3.6904601280193328</v>
      </c>
      <c r="Q14" s="7">
        <f>$B14 * IFERROR(VLOOKUP("transport|PM25|Minor restricted activity days", US_national_yearly!$D:$AM, 25, FALSE) / VLOOKUP("transport|PM25|Minor restricted activity days", US_national_yearly!$D:$AM, 10, FALSE), 1)</f>
        <v>3.7193216606725952</v>
      </c>
      <c r="R14" s="7">
        <f>$B14 * IFERROR(VLOOKUP("transport|PM25|Minor restricted activity days", US_national_yearly!$D:$AM, 26, FALSE) / VLOOKUP("transport|PM25|Minor restricted activity days", US_national_yearly!$D:$AM, 10, FALSE), 1)</f>
        <v>3.7481831933258571</v>
      </c>
      <c r="S14" s="7">
        <f>$B14 * IFERROR(VLOOKUP("transport|PM25|Minor restricted activity days", US_national_yearly!$D:$AM, 27, FALSE) / VLOOKUP("transport|PM25|Minor restricted activity days", US_national_yearly!$D:$AM, 10, FALSE), 1)</f>
        <v>3.7772434858971731</v>
      </c>
      <c r="T14" s="7">
        <f>$B14 * IFERROR(VLOOKUP("transport|PM25|Minor restricted activity days", US_national_yearly!$D:$AM, 28, FALSE) / VLOOKUP("transport|PM25|Minor restricted activity days", US_national_yearly!$D:$AM, 10, FALSE), 1)</f>
        <v>3.8063037784684894</v>
      </c>
      <c r="U14" s="7">
        <f>$B14 * IFERROR(VLOOKUP("transport|PM25|Minor restricted activity days", US_national_yearly!$D:$AM, 29, FALSE) / VLOOKUP("transport|PM25|Minor restricted activity days", US_national_yearly!$D:$AM, 10, FALSE), 1)</f>
        <v>3.8353640710398054</v>
      </c>
      <c r="V14" s="7">
        <f>$B14 * IFERROR(VLOOKUP("transport|PM25|Minor restricted activity days", US_national_yearly!$D:$AM, 30, FALSE) / VLOOKUP("transport|PM25|Minor restricted activity days", US_national_yearly!$D:$AM, 10, FALSE), 1)</f>
        <v>3.8644243636111213</v>
      </c>
      <c r="W14" s="7">
        <f>$B14 * IFERROR(VLOOKUP("transport|PM25|Minor restricted activity days", US_national_yearly!$D:$AM, 31, FALSE) / VLOOKUP("transport|PM25|Minor restricted activity days", US_national_yearly!$D:$AM, 10, FALSE), 1)</f>
        <v>3.8934846561824372</v>
      </c>
      <c r="X14" s="7">
        <f>$B14 * IFERROR(VLOOKUP("transport|PM25|Minor restricted activity days", US_national_yearly!$D:$AM, 32, FALSE) / VLOOKUP("transport|PM25|Minor restricted activity days", US_national_yearly!$D:$AM, 10, FALSE), 1)</f>
        <v>3.9187119136553958</v>
      </c>
      <c r="Y14" s="7">
        <f>$B14 * IFERROR(VLOOKUP("transport|PM25|Minor restricted activity days", US_national_yearly!$D:$AM, 33, FALSE) / VLOOKUP("transport|PM25|Minor restricted activity days", US_national_yearly!$D:$AM, 10, FALSE), 1)</f>
        <v>3.943939171128354</v>
      </c>
      <c r="Z14" s="7">
        <f>$B14 * IFERROR(VLOOKUP("transport|PM25|Minor restricted activity days", US_national_yearly!$D:$AM, 34, FALSE) / VLOOKUP("transport|PM25|Minor restricted activity days", US_national_yearly!$D:$AM, 10, FALSE), 1)</f>
        <v>3.9691664286013122</v>
      </c>
      <c r="AA14" s="7">
        <f>$B14 * IFERROR(VLOOKUP("transport|PM25|Minor restricted activity days", US_national_yearly!$D:$AM, 35, FALSE) / VLOOKUP("transport|PM25|Minor restricted activity days", US_national_yearly!$D:$AM, 10, FALSE), 1)</f>
        <v>3.9943936860742699</v>
      </c>
      <c r="AB14" s="7">
        <f>$B14 * IFERROR(VLOOKUP("transport|PM25|Minor restricted activity days", US_national_yearly!$D:$AM, 36, FALSE) / VLOOKUP("transport|PM25|Minor restricted activity days", US_national_yearly!$D:$AM, 10, FALSE), 1)</f>
        <v>4.0196209435472285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0.5853613466635621</v>
      </c>
      <c r="C15" s="7">
        <f>$B15 * IFERROR(VLOOKUP("transport|PM25|Work loss days", US_national_yearly!$D:$AM, 11, FALSE) / VLOOKUP("transport|PM25|Work loss days", US_national_yearly!$D:$AM, 10, FALSE), 1)</f>
        <v>0.58717575600815741</v>
      </c>
      <c r="D15" s="7">
        <f>$B15 * IFERROR(VLOOKUP("transport|PM25|Work loss days", US_national_yearly!$D:$AM, 12, FALSE) / VLOOKUP("transport|PM25|Work loss days", US_national_yearly!$D:$AM, 10, FALSE), 1)</f>
        <v>0.58899016535275273</v>
      </c>
      <c r="E15" s="7">
        <f>$B15 * IFERROR(VLOOKUP("transport|PM25|Work loss days", US_national_yearly!$D:$AM, 13, FALSE) / VLOOKUP("transport|PM25|Work loss days", US_national_yearly!$D:$AM, 10, FALSE), 1)</f>
        <v>0.59080457469734804</v>
      </c>
      <c r="F15" s="7">
        <f>$B15 * IFERROR(VLOOKUP("transport|PM25|Work loss days", US_national_yearly!$D:$AM, 14, FALSE) / VLOOKUP("transport|PM25|Work loss days", US_national_yearly!$D:$AM, 10, FALSE), 1)</f>
        <v>0.59261898404194335</v>
      </c>
      <c r="G15" s="7">
        <f>$B15 * IFERROR(VLOOKUP("transport|PM25|Work loss days", US_national_yearly!$D:$AM, 15, FALSE) / VLOOKUP("transport|PM25|Work loss days", US_national_yearly!$D:$AM, 10, FALSE), 1)</f>
        <v>0.59499779047190826</v>
      </c>
      <c r="H15" s="7">
        <f>$B15 * IFERROR(VLOOKUP("transport|PM25|Work loss days", US_national_yearly!$D:$AM, 16, FALSE) / VLOOKUP("transport|PM25|Work loss days", US_national_yearly!$D:$AM, 10, FALSE), 1)</f>
        <v>0.59737659690187328</v>
      </c>
      <c r="I15" s="7">
        <f>$B15 * IFERROR(VLOOKUP("transport|PM25|Work loss days", US_national_yearly!$D:$AM, 17, FALSE) / VLOOKUP("transport|PM25|Work loss days", US_national_yearly!$D:$AM, 10, FALSE), 1)</f>
        <v>0.60087965100280272</v>
      </c>
      <c r="J15" s="7">
        <f>$B15 * IFERROR(VLOOKUP("transport|PM25|Work loss days", US_national_yearly!$D:$AM, 18, FALSE) / VLOOKUP("transport|PM25|Work loss days", US_national_yearly!$D:$AM, 10, FALSE), 1)</f>
        <v>0.60438270510373204</v>
      </c>
      <c r="K15" s="7">
        <f>$B15 * IFERROR(VLOOKUP("transport|PM25|Work loss days", US_national_yearly!$D:$AM, 19, FALSE) / VLOOKUP("transport|PM25|Work loss days", US_national_yearly!$D:$AM, 10, FALSE), 1)</f>
        <v>0.60788575920466148</v>
      </c>
      <c r="L15" s="7">
        <f>$B15 * IFERROR(VLOOKUP("transport|PM25|Work loss days", US_national_yearly!$D:$AM, 20, FALSE) / VLOOKUP("transport|PM25|Work loss days", US_national_yearly!$D:$AM, 10, FALSE), 1)</f>
        <v>0.61138881330559092</v>
      </c>
      <c r="M15" s="7">
        <f>$B15 * IFERROR(VLOOKUP("transport|PM25|Work loss days", US_national_yearly!$D:$AM, 21, FALSE) / VLOOKUP("transport|PM25|Work loss days", US_national_yearly!$D:$AM, 10, FALSE), 1)</f>
        <v>0.61489186740652035</v>
      </c>
      <c r="N15" s="7">
        <f>$B15 * IFERROR(VLOOKUP("transport|PM25|Work loss days", US_national_yearly!$D:$AM, 22, FALSE) / VLOOKUP("transport|PM25|Work loss days", US_national_yearly!$D:$AM, 10, FALSE), 1)</f>
        <v>0.61930072613450504</v>
      </c>
      <c r="O15" s="7">
        <f>$B15 * IFERROR(VLOOKUP("transport|PM25|Work loss days", US_national_yearly!$D:$AM, 23, FALSE) / VLOOKUP("transport|PM25|Work loss days", US_national_yearly!$D:$AM, 10, FALSE), 1)</f>
        <v>0.62370958486248973</v>
      </c>
      <c r="P15" s="7">
        <f>$B15 * IFERROR(VLOOKUP("transport|PM25|Work loss days", US_national_yearly!$D:$AM, 24, FALSE) / VLOOKUP("transport|PM25|Work loss days", US_national_yearly!$D:$AM, 10, FALSE), 1)</f>
        <v>0.62811844359047442</v>
      </c>
      <c r="Q15" s="7">
        <f>$B15 * IFERROR(VLOOKUP("transport|PM25|Work loss days", US_national_yearly!$D:$AM, 25, FALSE) / VLOOKUP("transport|PM25|Work loss days", US_national_yearly!$D:$AM, 10, FALSE), 1)</f>
        <v>0.63252730231845899</v>
      </c>
      <c r="R15" s="7">
        <f>$B15 * IFERROR(VLOOKUP("transport|PM25|Work loss days", US_national_yearly!$D:$AM, 26, FALSE) / VLOOKUP("transport|PM25|Work loss days", US_national_yearly!$D:$AM, 10, FALSE), 1)</f>
        <v>0.63693616104644368</v>
      </c>
      <c r="S15" s="7">
        <f>$B15 * IFERROR(VLOOKUP("transport|PM25|Work loss days", US_national_yearly!$D:$AM, 27, FALSE) / VLOOKUP("transport|PM25|Work loss days", US_national_yearly!$D:$AM, 10, FALSE), 1)</f>
        <v>0.64181254702899804</v>
      </c>
      <c r="T15" s="7">
        <f>$B15 * IFERROR(VLOOKUP("transport|PM25|Work loss days", US_national_yearly!$D:$AM, 28, FALSE) / VLOOKUP("transport|PM25|Work loss days", US_national_yearly!$D:$AM, 10, FALSE), 1)</f>
        <v>0.6466889330115525</v>
      </c>
      <c r="U15" s="7">
        <f>$B15 * IFERROR(VLOOKUP("transport|PM25|Work loss days", US_national_yearly!$D:$AM, 29, FALSE) / VLOOKUP("transport|PM25|Work loss days", US_national_yearly!$D:$AM, 10, FALSE), 1)</f>
        <v>0.65156531899410663</v>
      </c>
      <c r="V15" s="7">
        <f>$B15 * IFERROR(VLOOKUP("transport|PM25|Work loss days", US_national_yearly!$D:$AM, 30, FALSE) / VLOOKUP("transport|PM25|Work loss days", US_national_yearly!$D:$AM, 10, FALSE), 1)</f>
        <v>0.6564417049766611</v>
      </c>
      <c r="W15" s="7">
        <f>$B15 * IFERROR(VLOOKUP("transport|PM25|Work loss days", US_national_yearly!$D:$AM, 31, FALSE) / VLOOKUP("transport|PM25|Work loss days", US_national_yearly!$D:$AM, 10, FALSE), 1)</f>
        <v>0.66131809095921545</v>
      </c>
      <c r="X15" s="7">
        <f>$B15 * IFERROR(VLOOKUP("transport|PM25|Work loss days", US_national_yearly!$D:$AM, 32, FALSE) / VLOOKUP("transport|PM25|Work loss days", US_national_yearly!$D:$AM, 10, FALSE), 1)</f>
        <v>0.66564476050470478</v>
      </c>
      <c r="Y15" s="7">
        <f>$B15 * IFERROR(VLOOKUP("transport|PM25|Work loss days", US_national_yearly!$D:$AM, 33, FALSE) / VLOOKUP("transport|PM25|Work loss days", US_national_yearly!$D:$AM, 10, FALSE), 1)</f>
        <v>0.66997143005019411</v>
      </c>
      <c r="Z15" s="7">
        <f>$B15 * IFERROR(VLOOKUP("transport|PM25|Work loss days", US_national_yearly!$D:$AM, 34, FALSE) / VLOOKUP("transport|PM25|Work loss days", US_national_yearly!$D:$AM, 10, FALSE), 1)</f>
        <v>0.67429809959568365</v>
      </c>
      <c r="AA15" s="7">
        <f>$B15 * IFERROR(VLOOKUP("transport|PM25|Work loss days", US_national_yearly!$D:$AM, 35, FALSE) / VLOOKUP("transport|PM25|Work loss days", US_national_yearly!$D:$AM, 10, FALSE), 1)</f>
        <v>0.67862476914117309</v>
      </c>
      <c r="AB15" s="7">
        <f>$B15 * IFERROR(VLOOKUP("transport|PM25|Work loss days", US_national_yearly!$D:$AM, 36, FALSE) / VLOOKUP("transport|PM25|Work loss days", US_national_yearly!$D:$AM, 10, FALSE), 1)</f>
        <v>0.68295143868666242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8.7246210054782198E-4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8.9853187649471995E-4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9.2460165244161814E-4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9.5067142838851633E-4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9.7674120433541463E-4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1.0017113929331788E-3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1.0266815815309436E-3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1.0480374577380618E-3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1.06939333394518E-3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1.0907492101522979E-3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1.1121050863594163E-3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1.1334609625665343E-3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1.1476994128169439E-3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1.1619378630673537E-3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1.1761763133177631E-3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1.190414763568173E-3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1.2046532138185826E-3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1.2121866833179819E-3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1.2197201528173812E-3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1.2272536223167801E-3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1.2347870918161794E-3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1.2423205613155785E-3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1.2473921920776068E-3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1.2524638228396351E-3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1.2575354536016633E-3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1.2626070843636916E-3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1.2676787151257199E-3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6.7738100305870478E-4</v>
      </c>
      <c r="C2" s="7">
        <f>$B2 * IFERROR(VLOOKUP("transport|NOx|Premature mortality", US_national_yearly!$D:$AM, 11, FALSE) / VLOOKUP("transport|NOx|Premature mortality", US_national_yearly!$D:$AM, 10, FALSE), 1)</f>
        <v>6.8733058504817982E-4</v>
      </c>
      <c r="D2" s="7">
        <f>$B2 * IFERROR(VLOOKUP("transport|NOx|Premature mortality", US_national_yearly!$D:$AM, 12, FALSE) / VLOOKUP("transport|NOx|Premature mortality", US_national_yearly!$D:$AM, 10, FALSE), 1)</f>
        <v>6.9728016703765464E-4</v>
      </c>
      <c r="E2" s="7">
        <f>$B2 * IFERROR(VLOOKUP("transport|NOx|Premature mortality", US_national_yearly!$D:$AM, 13, FALSE) / VLOOKUP("transport|NOx|Premature mortality", US_national_yearly!$D:$AM, 10, FALSE), 1)</f>
        <v>7.0722974902712968E-4</v>
      </c>
      <c r="F2" s="7">
        <f>$B2 * IFERROR(VLOOKUP("transport|NOx|Premature mortality", US_national_yearly!$D:$AM, 14, FALSE) / VLOOKUP("transport|NOx|Premature mortality", US_national_yearly!$D:$AM, 10, FALSE), 1)</f>
        <v>7.1717933101660472E-4</v>
      </c>
      <c r="G2" s="7">
        <f>$B2 * IFERROR(VLOOKUP("transport|NOx|Premature mortality", US_national_yearly!$D:$AM, 15, FALSE) / VLOOKUP("transport|NOx|Premature mortality", US_national_yearly!$D:$AM, 10, FALSE), 1)</f>
        <v>7.3505113259170695E-4</v>
      </c>
      <c r="H2" s="7">
        <f>$B2 * IFERROR(VLOOKUP("transport|NOx|Premature mortality", US_national_yearly!$D:$AM, 16, FALSE) / VLOOKUP("transport|NOx|Premature mortality", US_national_yearly!$D:$AM, 10, FALSE), 1)</f>
        <v>7.529229341668095E-4</v>
      </c>
      <c r="I2" s="7">
        <f>$B2 * IFERROR(VLOOKUP("transport|NOx|Premature mortality", US_national_yearly!$D:$AM, 17, FALSE) / VLOOKUP("transport|NOx|Premature mortality", US_national_yearly!$D:$AM, 10, FALSE), 1)</f>
        <v>7.6445952108721883E-4</v>
      </c>
      <c r="J2" s="7">
        <f>$B2 * IFERROR(VLOOKUP("transport|NOx|Premature mortality", US_national_yearly!$D:$AM, 18, FALSE) / VLOOKUP("transport|NOx|Premature mortality", US_national_yearly!$D:$AM, 10, FALSE), 1)</f>
        <v>7.7599610800762838E-4</v>
      </c>
      <c r="K2" s="7">
        <f>$B2 * IFERROR(VLOOKUP("transport|NOx|Premature mortality", US_national_yearly!$D:$AM, 19, FALSE) / VLOOKUP("transport|NOx|Premature mortality", US_national_yearly!$D:$AM, 10, FALSE), 1)</f>
        <v>7.8753269492803772E-4</v>
      </c>
      <c r="L2" s="7">
        <f>$B2 * IFERROR(VLOOKUP("transport|NOx|Premature mortality", US_national_yearly!$D:$AM, 20, FALSE) / VLOOKUP("transport|NOx|Premature mortality", US_national_yearly!$D:$AM, 10, FALSE), 1)</f>
        <v>7.9906928184844705E-4</v>
      </c>
      <c r="M2" s="7">
        <f>$B2 * IFERROR(VLOOKUP("transport|NOx|Premature mortality", US_national_yearly!$D:$AM, 21, FALSE) / VLOOKUP("transport|NOx|Premature mortality", US_national_yearly!$D:$AM, 10, FALSE), 1)</f>
        <v>8.1060586876885649E-4</v>
      </c>
      <c r="N2" s="7">
        <f>$B2 * IFERROR(VLOOKUP("transport|NOx|Premature mortality", US_national_yearly!$D:$AM, 22, FALSE) / VLOOKUP("transport|NOx|Premature mortality", US_national_yearly!$D:$AM, 10, FALSE), 1)</f>
        <v>8.1915212751051004E-4</v>
      </c>
      <c r="O2" s="7">
        <f>$B2 * IFERROR(VLOOKUP("transport|NOx|Premature mortality", US_national_yearly!$D:$AM, 23, FALSE) / VLOOKUP("transport|NOx|Premature mortality", US_national_yearly!$D:$AM, 10, FALSE), 1)</f>
        <v>8.2769838625216348E-4</v>
      </c>
      <c r="P2" s="7">
        <f>$B2 * IFERROR(VLOOKUP("transport|NOx|Premature mortality", US_national_yearly!$D:$AM, 24, FALSE) / VLOOKUP("transport|NOx|Premature mortality", US_national_yearly!$D:$AM, 10, FALSE), 1)</f>
        <v>8.3624464499381691E-4</v>
      </c>
      <c r="Q2" s="7">
        <f>$B2 * IFERROR(VLOOKUP("transport|NOx|Premature mortality", US_national_yearly!$D:$AM, 25, FALSE) / VLOOKUP("transport|NOx|Premature mortality", US_national_yearly!$D:$AM, 10, FALSE), 1)</f>
        <v>8.4479090373547057E-4</v>
      </c>
      <c r="R2" s="7">
        <f>$B2 * IFERROR(VLOOKUP("transport|NOx|Premature mortality", US_national_yearly!$D:$AM, 26, FALSE) / VLOOKUP("transport|NOx|Premature mortality", US_national_yearly!$D:$AM, 10, FALSE), 1)</f>
        <v>8.5333716247712401E-4</v>
      </c>
      <c r="S2" s="7">
        <f>$B2 * IFERROR(VLOOKUP("transport|NOx|Premature mortality", US_national_yearly!$D:$AM, 27, FALSE) / VLOOKUP("transport|NOx|Premature mortality", US_national_yearly!$D:$AM, 10, FALSE), 1)</f>
        <v>8.5722152313488743E-4</v>
      </c>
      <c r="T2" s="7">
        <f>$B2 * IFERROR(VLOOKUP("transport|NOx|Premature mortality", US_national_yearly!$D:$AM, 28, FALSE) / VLOOKUP("transport|NOx|Premature mortality", US_national_yearly!$D:$AM, 10, FALSE), 1)</f>
        <v>8.6110588379265086E-4</v>
      </c>
      <c r="U2" s="7">
        <f>$B2 * IFERROR(VLOOKUP("transport|NOx|Premature mortality", US_national_yearly!$D:$AM, 29, FALSE) / VLOOKUP("transport|NOx|Premature mortality", US_national_yearly!$D:$AM, 10, FALSE), 1)</f>
        <v>8.6499024445041428E-4</v>
      </c>
      <c r="V2" s="7">
        <f>$B2 * IFERROR(VLOOKUP("transport|NOx|Premature mortality", US_national_yearly!$D:$AM, 30, FALSE) / VLOOKUP("transport|NOx|Premature mortality", US_national_yearly!$D:$AM, 10, FALSE), 1)</f>
        <v>8.688746051081776E-4</v>
      </c>
      <c r="W2" s="7">
        <f>$B2 * IFERROR(VLOOKUP("transport|NOx|Premature mortality", US_national_yearly!$D:$AM, 31, FALSE) / VLOOKUP("transport|NOx|Premature mortality", US_national_yearly!$D:$AM, 10, FALSE), 1)</f>
        <v>8.7275896576594113E-4</v>
      </c>
      <c r="X2" s="7">
        <f>$B2 * IFERROR(VLOOKUP("transport|NOx|Premature mortality", US_national_yearly!$D:$AM, 32, FALSE) / VLOOKUP("transport|NOx|Premature mortality", US_national_yearly!$D:$AM, 10, FALSE), 1)</f>
        <v>8.7289351778948524E-4</v>
      </c>
      <c r="Y2" s="7">
        <f>$B2 * IFERROR(VLOOKUP("transport|NOx|Premature mortality", US_national_yearly!$D:$AM, 33, FALSE) / VLOOKUP("transport|NOx|Premature mortality", US_national_yearly!$D:$AM, 10, FALSE), 1)</f>
        <v>8.7302806981302925E-4</v>
      </c>
      <c r="Z2" s="7">
        <f>$B2 * IFERROR(VLOOKUP("transport|NOx|Premature mortality", US_national_yearly!$D:$AM, 34, FALSE) / VLOOKUP("transport|NOx|Premature mortality", US_national_yearly!$D:$AM, 10, FALSE), 1)</f>
        <v>8.7316262183657325E-4</v>
      </c>
      <c r="AA2" s="7">
        <f>$B2 * IFERROR(VLOOKUP("transport|NOx|Premature mortality", US_national_yearly!$D:$AM, 35, FALSE) / VLOOKUP("transport|NOx|Premature mortality", US_national_yearly!$D:$AM, 10, FALSE), 1)</f>
        <v>8.7329717386011748E-4</v>
      </c>
      <c r="AB2" s="7">
        <f>$B2 * IFERROR(VLOOKUP("transport|NOx|Premature mortality", US_national_yearly!$D:$AM, 36, FALSE) / VLOOKUP("transport|NOx|Premature mortality", US_national_yearly!$D:$AM, 10, FALSE), 1)</f>
        <v>8.7343172588366159E-4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1.4741679120923661E-6</v>
      </c>
      <c r="C3" s="7">
        <f>$B3 * IFERROR(VLOOKUP("transport|NOx|Infant mortality", US_national_yearly!$D:$AM, 11, FALSE) / VLOOKUP("transport|NOx|Infant mortality", US_national_yearly!$D:$AM, 10, FALSE), 1)</f>
        <v>1.4601227063102896E-6</v>
      </c>
      <c r="D3" s="7">
        <f>$B3 * IFERROR(VLOOKUP("transport|NOx|Infant mortality", US_national_yearly!$D:$AM, 12, FALSE) / VLOOKUP("transport|NOx|Infant mortality", US_national_yearly!$D:$AM, 10, FALSE), 1)</f>
        <v>1.4460775005282128E-6</v>
      </c>
      <c r="E3" s="7">
        <f>$B3 * IFERROR(VLOOKUP("transport|NOx|Infant mortality", US_national_yearly!$D:$AM, 13, FALSE) / VLOOKUP("transport|NOx|Infant mortality", US_national_yearly!$D:$AM, 10, FALSE), 1)</f>
        <v>1.4320322947461363E-6</v>
      </c>
      <c r="F3" s="7">
        <f>$B3 * IFERROR(VLOOKUP("transport|NOx|Infant mortality", US_national_yearly!$D:$AM, 14, FALSE) / VLOOKUP("transport|NOx|Infant mortality", US_national_yearly!$D:$AM, 10, FALSE), 1)</f>
        <v>1.4179870889640598E-6</v>
      </c>
      <c r="G3" s="7">
        <f>$B3 * IFERROR(VLOOKUP("transport|NOx|Infant mortality", US_national_yearly!$D:$AM, 15, FALSE) / VLOOKUP("transport|NOx|Infant mortality", US_national_yearly!$D:$AM, 10, FALSE), 1)</f>
        <v>9.4132985125017252E-7</v>
      </c>
      <c r="H3" s="7">
        <f>$B3 * IFERROR(VLOOKUP("transport|NOx|Infant mortality", US_national_yearly!$D:$AM, 16, FALSE) / VLOOKUP("transport|NOx|Infant mortality", US_national_yearly!$D:$AM, 10, FALSE), 1)</f>
        <v>4.646726135362853E-7</v>
      </c>
      <c r="I3" s="7">
        <f>$B3 * IFERROR(VLOOKUP("transport|NOx|Infant mortality", US_national_yearly!$D:$AM, 17, FALSE) / VLOOKUP("transport|NOx|Infant mortality", US_national_yearly!$D:$AM, 10, FALSE), 1)</f>
        <v>4.6138693448736441E-7</v>
      </c>
      <c r="J3" s="7">
        <f>$B3 * IFERROR(VLOOKUP("transport|NOx|Infant mortality", US_national_yearly!$D:$AM, 18, FALSE) / VLOOKUP("transport|NOx|Infant mortality", US_national_yearly!$D:$AM, 10, FALSE), 1)</f>
        <v>4.5810125543844342E-7</v>
      </c>
      <c r="K3" s="7">
        <f>$B3 * IFERROR(VLOOKUP("transport|NOx|Infant mortality", US_national_yearly!$D:$AM, 19, FALSE) / VLOOKUP("transport|NOx|Infant mortality", US_national_yearly!$D:$AM, 10, FALSE), 1)</f>
        <v>4.5481557638952254E-7</v>
      </c>
      <c r="L3" s="7">
        <f>$B3 * IFERROR(VLOOKUP("transport|NOx|Infant mortality", US_national_yearly!$D:$AM, 20, FALSE) / VLOOKUP("transport|NOx|Infant mortality", US_national_yearly!$D:$AM, 10, FALSE), 1)</f>
        <v>4.5152989734060165E-7</v>
      </c>
      <c r="M3" s="7">
        <f>$B3 * IFERROR(VLOOKUP("transport|NOx|Infant mortality", US_national_yearly!$D:$AM, 21, FALSE) / VLOOKUP("transport|NOx|Infant mortality", US_national_yearly!$D:$AM, 10, FALSE), 1)</f>
        <v>4.4824421829168072E-7</v>
      </c>
      <c r="N3" s="7">
        <f>$B3 * IFERROR(VLOOKUP("transport|NOx|Infant mortality", US_national_yearly!$D:$AM, 22, FALSE) / VLOOKUP("transport|NOx|Infant mortality", US_national_yearly!$D:$AM, 10, FALSE), 1)</f>
        <v>4.4606332192141175E-7</v>
      </c>
      <c r="O3" s="7">
        <f>$B3 * IFERROR(VLOOKUP("transport|NOx|Infant mortality", US_national_yearly!$D:$AM, 23, FALSE) / VLOOKUP("transport|NOx|Infant mortality", US_national_yearly!$D:$AM, 10, FALSE), 1)</f>
        <v>4.4388242555114278E-7</v>
      </c>
      <c r="P3" s="7">
        <f>$B3 * IFERROR(VLOOKUP("transport|NOx|Infant mortality", US_national_yearly!$D:$AM, 24, FALSE) / VLOOKUP("transport|NOx|Infant mortality", US_national_yearly!$D:$AM, 10, FALSE), 1)</f>
        <v>4.4170152918087375E-7</v>
      </c>
      <c r="Q3" s="7">
        <f>$B3 * IFERROR(VLOOKUP("transport|NOx|Infant mortality", US_national_yearly!$D:$AM, 25, FALSE) / VLOOKUP("transport|NOx|Infant mortality", US_national_yearly!$D:$AM, 10, FALSE), 1)</f>
        <v>4.3952063281060478E-7</v>
      </c>
      <c r="R3" s="7">
        <f>$B3 * IFERROR(VLOOKUP("transport|NOx|Infant mortality", US_national_yearly!$D:$AM, 26, FALSE) / VLOOKUP("transport|NOx|Infant mortality", US_national_yearly!$D:$AM, 10, FALSE), 1)</f>
        <v>4.3733973644033581E-7</v>
      </c>
      <c r="S3" s="7">
        <f>$B3 * IFERROR(VLOOKUP("transport|NOx|Infant mortality", US_national_yearly!$D:$AM, 27, FALSE) / VLOOKUP("transport|NOx|Infant mortality", US_national_yearly!$D:$AM, 10, FALSE), 1)</f>
        <v>4.3471795218878813E-7</v>
      </c>
      <c r="T3" s="7">
        <f>$B3 * IFERROR(VLOOKUP("transport|NOx|Infant mortality", US_national_yearly!$D:$AM, 28, FALSE) / VLOOKUP("transport|NOx|Infant mortality", US_national_yearly!$D:$AM, 10, FALSE), 1)</f>
        <v>4.3209616793724045E-7</v>
      </c>
      <c r="U3" s="7">
        <f>$B3 * IFERROR(VLOOKUP("transport|NOx|Infant mortality", US_national_yearly!$D:$AM, 29, FALSE) / VLOOKUP("transport|NOx|Infant mortality", US_national_yearly!$D:$AM, 10, FALSE), 1)</f>
        <v>4.2947438368569277E-7</v>
      </c>
      <c r="V3" s="7">
        <f>$B3 * IFERROR(VLOOKUP("transport|NOx|Infant mortality", US_national_yearly!$D:$AM, 30, FALSE) / VLOOKUP("transport|NOx|Infant mortality", US_national_yearly!$D:$AM, 10, FALSE), 1)</f>
        <v>4.2685259943414509E-7</v>
      </c>
      <c r="W3" s="7">
        <f>$B3 * IFERROR(VLOOKUP("transport|NOx|Infant mortality", US_national_yearly!$D:$AM, 31, FALSE) / VLOOKUP("transport|NOx|Infant mortality", US_national_yearly!$D:$AM, 10, FALSE), 1)</f>
        <v>4.2423081518259746E-7</v>
      </c>
      <c r="X3" s="7">
        <f>$B3 * IFERROR(VLOOKUP("transport|NOx|Infant mortality", US_national_yearly!$D:$AM, 32, FALSE) / VLOOKUP("transport|NOx|Infant mortality", US_national_yearly!$D:$AM, 10, FALSE), 1)</f>
        <v>4.2145421887589671E-7</v>
      </c>
      <c r="Y3" s="7">
        <f>$B3 * IFERROR(VLOOKUP("transport|NOx|Infant mortality", US_national_yearly!$D:$AM, 33, FALSE) / VLOOKUP("transport|NOx|Infant mortality", US_national_yearly!$D:$AM, 10, FALSE), 1)</f>
        <v>4.1867762256919591E-7</v>
      </c>
      <c r="Z3" s="7">
        <f>$B3 * IFERROR(VLOOKUP("transport|NOx|Infant mortality", US_national_yearly!$D:$AM, 34, FALSE) / VLOOKUP("transport|NOx|Infant mortality", US_national_yearly!$D:$AM, 10, FALSE), 1)</f>
        <v>4.1590102626249511E-7</v>
      </c>
      <c r="AA3" s="7">
        <f>$B3 * IFERROR(VLOOKUP("transport|NOx|Infant mortality", US_national_yearly!$D:$AM, 35, FALSE) / VLOOKUP("transport|NOx|Infant mortality", US_national_yearly!$D:$AM, 10, FALSE), 1)</f>
        <v>4.1312442995579426E-7</v>
      </c>
      <c r="AB3" s="7">
        <f>$B3 * IFERROR(VLOOKUP("transport|NOx|Infant mortality", US_national_yearly!$D:$AM, 36, FALSE) / VLOOKUP("transport|NOx|Infant mortality", US_national_yearly!$D:$AM, 10, FALSE), 1)</f>
        <v>4.1034783364909346E-7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1.6442485405130944E-3</v>
      </c>
      <c r="C6" s="7">
        <f>$B6 * IFERROR(VLOOKUP("transport|NOx|Asthma symptoms cough", US_national_yearly!$D:$AM, 11, FALSE) / VLOOKUP("transport|NOx|Asthma symptoms cough", US_national_yearly!$D:$AM, 10, FALSE), 1)</f>
        <v>1.6667281063018592E-3</v>
      </c>
      <c r="D6" s="7">
        <f>$B6 * IFERROR(VLOOKUP("transport|NOx|Asthma symptoms cough", US_national_yearly!$D:$AM, 12, FALSE) / VLOOKUP("transport|NOx|Asthma symptoms cough", US_national_yearly!$D:$AM, 10, FALSE), 1)</f>
        <v>1.6892076720906239E-3</v>
      </c>
      <c r="E6" s="7">
        <f>$B6 * IFERROR(VLOOKUP("transport|NOx|Asthma symptoms cough", US_national_yearly!$D:$AM, 13, FALSE) / VLOOKUP("transport|NOx|Asthma symptoms cough", US_national_yearly!$D:$AM, 10, FALSE), 1)</f>
        <v>1.7116872378793886E-3</v>
      </c>
      <c r="F6" s="7">
        <f>$B6 * IFERROR(VLOOKUP("transport|NOx|Asthma symptoms cough", US_national_yearly!$D:$AM, 14, FALSE) / VLOOKUP("transport|NOx|Asthma symptoms cough", US_national_yearly!$D:$AM, 10, FALSE), 1)</f>
        <v>1.7341668036681534E-3</v>
      </c>
      <c r="G6" s="7">
        <f>$B6 * IFERROR(VLOOKUP("transport|NOx|Asthma symptoms cough", US_national_yearly!$D:$AM, 15, FALSE) / VLOOKUP("transport|NOx|Asthma symptoms cough", US_national_yearly!$D:$AM, 10, FALSE), 1)</f>
        <v>1.7521135956433884E-3</v>
      </c>
      <c r="H6" s="7">
        <f>$B6 * IFERROR(VLOOKUP("transport|NOx|Asthma symptoms cough", US_national_yearly!$D:$AM, 16, FALSE) / VLOOKUP("transport|NOx|Asthma symptoms cough", US_national_yearly!$D:$AM, 10, FALSE), 1)</f>
        <v>1.7700603876186238E-3</v>
      </c>
      <c r="I6" s="7">
        <f>$B6 * IFERROR(VLOOKUP("transport|NOx|Asthma symptoms cough", US_national_yearly!$D:$AM, 17, FALSE) / VLOOKUP("transport|NOx|Asthma symptoms cough", US_national_yearly!$D:$AM, 10, FALSE), 1)</f>
        <v>1.7762374168536247E-3</v>
      </c>
      <c r="J6" s="7">
        <f>$B6 * IFERROR(VLOOKUP("transport|NOx|Asthma symptoms cough", US_national_yearly!$D:$AM, 18, FALSE) / VLOOKUP("transport|NOx|Asthma symptoms cough", US_national_yearly!$D:$AM, 10, FALSE), 1)</f>
        <v>1.7824144460886261E-3</v>
      </c>
      <c r="K6" s="7">
        <f>$B6 * IFERROR(VLOOKUP("transport|NOx|Asthma symptoms cough", US_national_yearly!$D:$AM, 19, FALSE) / VLOOKUP("transport|NOx|Asthma symptoms cough", US_national_yearly!$D:$AM, 10, FALSE), 1)</f>
        <v>1.788591475323627E-3</v>
      </c>
      <c r="L6" s="7">
        <f>$B6 * IFERROR(VLOOKUP("transport|NOx|Asthma symptoms cough", US_national_yearly!$D:$AM, 20, FALSE) / VLOOKUP("transport|NOx|Asthma symptoms cough", US_national_yearly!$D:$AM, 10, FALSE), 1)</f>
        <v>1.7947685045586281E-3</v>
      </c>
      <c r="M6" s="7">
        <f>$B6 * IFERROR(VLOOKUP("transport|NOx|Asthma symptoms cough", US_national_yearly!$D:$AM, 21, FALSE) / VLOOKUP("transport|NOx|Asthma symptoms cough", US_national_yearly!$D:$AM, 10, FALSE), 1)</f>
        <v>1.8009455337936295E-3</v>
      </c>
      <c r="N6" s="7">
        <f>$B6 * IFERROR(VLOOKUP("transport|NOx|Asthma symptoms cough", US_national_yearly!$D:$AM, 22, FALSE) / VLOOKUP("transport|NOx|Asthma symptoms cough", US_national_yearly!$D:$AM, 10, FALSE), 1)</f>
        <v>1.8081082591781146E-3</v>
      </c>
      <c r="O6" s="7">
        <f>$B6 * IFERROR(VLOOKUP("transport|NOx|Asthma symptoms cough", US_national_yearly!$D:$AM, 23, FALSE) / VLOOKUP("transport|NOx|Asthma symptoms cough", US_national_yearly!$D:$AM, 10, FALSE), 1)</f>
        <v>1.8152709845625998E-3</v>
      </c>
      <c r="P6" s="7">
        <f>$B6 * IFERROR(VLOOKUP("transport|NOx|Asthma symptoms cough", US_national_yearly!$D:$AM, 24, FALSE) / VLOOKUP("transport|NOx|Asthma symptoms cough", US_national_yearly!$D:$AM, 10, FALSE), 1)</f>
        <v>1.8224337099470851E-3</v>
      </c>
      <c r="Q6" s="7">
        <f>$B6 * IFERROR(VLOOKUP("transport|NOx|Asthma symptoms cough", US_national_yearly!$D:$AM, 25, FALSE) / VLOOKUP("transport|NOx|Asthma symptoms cough", US_national_yearly!$D:$AM, 10, FALSE), 1)</f>
        <v>1.8295964353315707E-3</v>
      </c>
      <c r="R6" s="7">
        <f>$B6 * IFERROR(VLOOKUP("transport|NOx|Asthma symptoms cough", US_national_yearly!$D:$AM, 26, FALSE) / VLOOKUP("transport|NOx|Asthma symptoms cough", US_national_yearly!$D:$AM, 10, FALSE), 1)</f>
        <v>1.836759160716056E-3</v>
      </c>
      <c r="S6" s="7">
        <f>$B6 * IFERROR(VLOOKUP("transport|NOx|Asthma symptoms cough", US_national_yearly!$D:$AM, 27, FALSE) / VLOOKUP("transport|NOx|Asthma symptoms cough", US_national_yearly!$D:$AM, 10, FALSE), 1)</f>
        <v>1.8461159613793242E-3</v>
      </c>
      <c r="T6" s="7">
        <f>$B6 * IFERROR(VLOOKUP("transport|NOx|Asthma symptoms cough", US_national_yearly!$D:$AM, 28, FALSE) / VLOOKUP("transport|NOx|Asthma symptoms cough", US_national_yearly!$D:$AM, 10, FALSE), 1)</f>
        <v>1.8554727620425924E-3</v>
      </c>
      <c r="U6" s="7">
        <f>$B6 * IFERROR(VLOOKUP("transport|NOx|Asthma symptoms cough", US_national_yearly!$D:$AM, 29, FALSE) / VLOOKUP("transport|NOx|Asthma symptoms cough", US_national_yearly!$D:$AM, 10, FALSE), 1)</f>
        <v>1.8648295627058599E-3</v>
      </c>
      <c r="V6" s="7">
        <f>$B6 * IFERROR(VLOOKUP("transport|NOx|Asthma symptoms cough", US_national_yearly!$D:$AM, 30, FALSE) / VLOOKUP("transport|NOx|Asthma symptoms cough", US_national_yearly!$D:$AM, 10, FALSE), 1)</f>
        <v>1.8741863633691283E-3</v>
      </c>
      <c r="W6" s="7">
        <f>$B6 * IFERROR(VLOOKUP("transport|NOx|Asthma symptoms cough", US_national_yearly!$D:$AM, 31, FALSE) / VLOOKUP("transport|NOx|Asthma symptoms cough", US_national_yearly!$D:$AM, 10, FALSE), 1)</f>
        <v>1.8835431640323963E-3</v>
      </c>
      <c r="X6" s="7">
        <f>$B6 * IFERROR(VLOOKUP("transport|NOx|Asthma symptoms cough", US_national_yearly!$D:$AM, 32, FALSE) / VLOOKUP("transport|NOx|Asthma symptoms cough", US_national_yearly!$D:$AM, 10, FALSE), 1)</f>
        <v>1.8922369762856004E-3</v>
      </c>
      <c r="Y6" s="7">
        <f>$B6 * IFERROR(VLOOKUP("transport|NOx|Asthma symptoms cough", US_national_yearly!$D:$AM, 33, FALSE) / VLOOKUP("transport|NOx|Asthma symptoms cough", US_national_yearly!$D:$AM, 10, FALSE), 1)</f>
        <v>1.9009307885388042E-3</v>
      </c>
      <c r="Z6" s="7">
        <f>$B6 * IFERROR(VLOOKUP("transport|NOx|Asthma symptoms cough", US_national_yearly!$D:$AM, 34, FALSE) / VLOOKUP("transport|NOx|Asthma symptoms cough", US_national_yearly!$D:$AM, 10, FALSE), 1)</f>
        <v>1.9096246007920083E-3</v>
      </c>
      <c r="AA6" s="7">
        <f>$B6 * IFERROR(VLOOKUP("transport|NOx|Asthma symptoms cough", US_national_yearly!$D:$AM, 35, FALSE) / VLOOKUP("transport|NOx|Asthma symptoms cough", US_national_yearly!$D:$AM, 10, FALSE), 1)</f>
        <v>1.9183184130452122E-3</v>
      </c>
      <c r="AB6" s="7">
        <f>$B6 * IFERROR(VLOOKUP("transport|NOx|Asthma symptoms cough", US_national_yearly!$D:$AM, 36, FALSE) / VLOOKUP("transport|NOx|Asthma symptoms cough", US_national_yearly!$D:$AM, 10, FALSE), 1)</f>
        <v>1.9270122252984165E-3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2.2141778945599286E-3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2.2444493263924408E-3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2.2747207582249529E-3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2.3049921900574651E-3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2.3352636218899776E-3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2.3594311300404306E-3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2.383598638190884E-3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2.3919167489621692E-3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2.4002348597334544E-3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2.4085529705047395E-3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2.4168710812760247E-3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2.4251891920473098E-3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2.4348346609462637E-3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2.4444801298452177E-3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2.4541255987441707E-3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2.4637710676431246E-3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2.4734165365420785E-3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2.486016591018503E-3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2.4986166454949279E-3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2.5112166999713519E-3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2.5238167544477759E-3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2.5364168089242003E-3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2.5481240699708127E-3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2.5598313310174251E-3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2.5715385920640384E-3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2.5832458531106508E-3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2.5949531141572636E-3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3.3830360446056029E-3</v>
      </c>
      <c r="C8" s="7">
        <f>$B8 * IFERROR(VLOOKUP("transport|NOx|Asthma symptoms wheeze", US_national_yearly!$D:$AM, 11, FALSE) / VLOOKUP("transport|NOx|Asthma symptoms wheeze", US_national_yearly!$D:$AM, 10, FALSE), 1)</f>
        <v>3.4292876784441286E-3</v>
      </c>
      <c r="D8" s="7">
        <f>$B8 * IFERROR(VLOOKUP("transport|NOx|Asthma symptoms wheeze", US_national_yearly!$D:$AM, 12, FALSE) / VLOOKUP("transport|NOx|Asthma symptoms wheeze", US_national_yearly!$D:$AM, 10, FALSE), 1)</f>
        <v>3.4755393122826556E-3</v>
      </c>
      <c r="E8" s="7">
        <f>$B8 * IFERROR(VLOOKUP("transport|NOx|Asthma symptoms wheeze", US_national_yearly!$D:$AM, 13, FALSE) / VLOOKUP("transport|NOx|Asthma symptoms wheeze", US_national_yearly!$D:$AM, 10, FALSE), 1)</f>
        <v>3.5217909461211813E-3</v>
      </c>
      <c r="F8" s="7">
        <f>$B8 * IFERROR(VLOOKUP("transport|NOx|Asthma symptoms wheeze", US_national_yearly!$D:$AM, 14, FALSE) / VLOOKUP("transport|NOx|Asthma symptoms wheeze", US_national_yearly!$D:$AM, 10, FALSE), 1)</f>
        <v>3.568042579959707E-3</v>
      </c>
      <c r="G8" s="7">
        <f>$B8 * IFERROR(VLOOKUP("transport|NOx|Asthma symptoms wheeze", US_national_yearly!$D:$AM, 15, FALSE) / VLOOKUP("transport|NOx|Asthma symptoms wheeze", US_national_yearly!$D:$AM, 10, FALSE), 1)</f>
        <v>3.6049680463781032E-3</v>
      </c>
      <c r="H8" s="7">
        <f>$B8 * IFERROR(VLOOKUP("transport|NOx|Asthma symptoms wheeze", US_national_yearly!$D:$AM, 16, FALSE) / VLOOKUP("transport|NOx|Asthma symptoms wheeze", US_national_yearly!$D:$AM, 10, FALSE), 1)</f>
        <v>3.6418935127964991E-3</v>
      </c>
      <c r="I8" s="7">
        <f>$B8 * IFERROR(VLOOKUP("transport|NOx|Asthma symptoms wheeze", US_national_yearly!$D:$AM, 17, FALSE) / VLOOKUP("transport|NOx|Asthma symptoms wheeze", US_national_yearly!$D:$AM, 10, FALSE), 1)</f>
        <v>3.654602730507365E-3</v>
      </c>
      <c r="J8" s="7">
        <f>$B8 * IFERROR(VLOOKUP("transport|NOx|Asthma symptoms wheeze", US_national_yearly!$D:$AM, 18, FALSE) / VLOOKUP("transport|NOx|Asthma symptoms wheeze", US_national_yearly!$D:$AM, 10, FALSE), 1)</f>
        <v>3.6673119482182313E-3</v>
      </c>
      <c r="K8" s="7">
        <f>$B8 * IFERROR(VLOOKUP("transport|NOx|Asthma symptoms wheeze", US_national_yearly!$D:$AM, 19, FALSE) / VLOOKUP("transport|NOx|Asthma symptoms wheeze", US_national_yearly!$D:$AM, 10, FALSE), 1)</f>
        <v>3.6800211659290963E-3</v>
      </c>
      <c r="L8" s="7">
        <f>$B8 * IFERROR(VLOOKUP("transport|NOx|Asthma symptoms wheeze", US_national_yearly!$D:$AM, 20, FALSE) / VLOOKUP("transport|NOx|Asthma symptoms wheeze", US_national_yearly!$D:$AM, 10, FALSE), 1)</f>
        <v>3.6927303836399627E-3</v>
      </c>
      <c r="M8" s="7">
        <f>$B8 * IFERROR(VLOOKUP("transport|NOx|Asthma symptoms wheeze", US_national_yearly!$D:$AM, 21, FALSE) / VLOOKUP("transport|NOx|Asthma symptoms wheeze", US_national_yearly!$D:$AM, 10, FALSE), 1)</f>
        <v>3.7054396013508285E-3</v>
      </c>
      <c r="N8" s="7">
        <f>$B8 * IFERROR(VLOOKUP("transport|NOx|Asthma symptoms wheeze", US_national_yearly!$D:$AM, 22, FALSE) / VLOOKUP("transport|NOx|Asthma symptoms wheeze", US_national_yearly!$D:$AM, 10, FALSE), 1)</f>
        <v>3.7201768857131993E-3</v>
      </c>
      <c r="O8" s="7">
        <f>$B8 * IFERROR(VLOOKUP("transport|NOx|Asthma symptoms wheeze", US_national_yearly!$D:$AM, 23, FALSE) / VLOOKUP("transport|NOx|Asthma symptoms wheeze", US_national_yearly!$D:$AM, 10, FALSE), 1)</f>
        <v>3.734914170075571E-3</v>
      </c>
      <c r="P8" s="7">
        <f>$B8 * IFERROR(VLOOKUP("transport|NOx|Asthma symptoms wheeze", US_national_yearly!$D:$AM, 24, FALSE) / VLOOKUP("transport|NOx|Asthma symptoms wheeze", US_national_yearly!$D:$AM, 10, FALSE), 1)</f>
        <v>3.7496514544379418E-3</v>
      </c>
      <c r="Q8" s="7">
        <f>$B8 * IFERROR(VLOOKUP("transport|NOx|Asthma symptoms wheeze", US_national_yearly!$D:$AM, 25, FALSE) / VLOOKUP("transport|NOx|Asthma symptoms wheeze", US_national_yearly!$D:$AM, 10, FALSE), 1)</f>
        <v>3.7643887388003131E-3</v>
      </c>
      <c r="R8" s="7">
        <f>$B8 * IFERROR(VLOOKUP("transport|NOx|Asthma symptoms wheeze", US_national_yearly!$D:$AM, 26, FALSE) / VLOOKUP("transport|NOx|Asthma symptoms wheeze", US_national_yearly!$D:$AM, 10, FALSE), 1)</f>
        <v>3.7791260231626843E-3</v>
      </c>
      <c r="S8" s="7">
        <f>$B8 * IFERROR(VLOOKUP("transport|NOx|Asthma symptoms wheeze", US_national_yearly!$D:$AM, 27, FALSE) / VLOOKUP("transport|NOx|Asthma symptoms wheeze", US_national_yearly!$D:$AM, 10, FALSE), 1)</f>
        <v>3.7983776103188249E-3</v>
      </c>
      <c r="T8" s="7">
        <f>$B8 * IFERROR(VLOOKUP("transport|NOx|Asthma symptoms wheeze", US_national_yearly!$D:$AM, 28, FALSE) / VLOOKUP("transport|NOx|Asthma symptoms wheeze", US_national_yearly!$D:$AM, 10, FALSE), 1)</f>
        <v>3.817629197474966E-3</v>
      </c>
      <c r="U8" s="7">
        <f>$B8 * IFERROR(VLOOKUP("transport|NOx|Asthma symptoms wheeze", US_national_yearly!$D:$AM, 29, FALSE) / VLOOKUP("transport|NOx|Asthma symptoms wheeze", US_national_yearly!$D:$AM, 10, FALSE), 1)</f>
        <v>3.8368807846311066E-3</v>
      </c>
      <c r="V8" s="7">
        <f>$B8 * IFERROR(VLOOKUP("transport|NOx|Asthma symptoms wheeze", US_national_yearly!$D:$AM, 30, FALSE) / VLOOKUP("transport|NOx|Asthma symptoms wheeze", US_national_yearly!$D:$AM, 10, FALSE), 1)</f>
        <v>3.8561323717872481E-3</v>
      </c>
      <c r="W8" s="7">
        <f>$B8 * IFERROR(VLOOKUP("transport|NOx|Asthma symptoms wheeze", US_national_yearly!$D:$AM, 31, FALSE) / VLOOKUP("transport|NOx|Asthma symptoms wheeze", US_national_yearly!$D:$AM, 10, FALSE), 1)</f>
        <v>3.8753839589433883E-3</v>
      </c>
      <c r="X8" s="7">
        <f>$B8 * IFERROR(VLOOKUP("transport|NOx|Asthma symptoms wheeze", US_national_yearly!$D:$AM, 32, FALSE) / VLOOKUP("transport|NOx|Asthma symptoms wheeze", US_national_yearly!$D:$AM, 10, FALSE), 1)</f>
        <v>3.8932714495802105E-3</v>
      </c>
      <c r="Y8" s="7">
        <f>$B8 * IFERROR(VLOOKUP("transport|NOx|Asthma symptoms wheeze", US_national_yearly!$D:$AM, 33, FALSE) / VLOOKUP("transport|NOx|Asthma symptoms wheeze", US_national_yearly!$D:$AM, 10, FALSE), 1)</f>
        <v>3.9111589402170315E-3</v>
      </c>
      <c r="Z8" s="7">
        <f>$B8 * IFERROR(VLOOKUP("transport|NOx|Asthma symptoms wheeze", US_national_yearly!$D:$AM, 34, FALSE) / VLOOKUP("transport|NOx|Asthma symptoms wheeze", US_national_yearly!$D:$AM, 10, FALSE), 1)</f>
        <v>3.9290464308538537E-3</v>
      </c>
      <c r="AA8" s="7">
        <f>$B8 * IFERROR(VLOOKUP("transport|NOx|Asthma symptoms wheeze", US_national_yearly!$D:$AM, 35, FALSE) / VLOOKUP("transport|NOx|Asthma symptoms wheeze", US_national_yearly!$D:$AM, 10, FALSE), 1)</f>
        <v>3.9469339214906751E-3</v>
      </c>
      <c r="AB8" s="7">
        <f>$B8 * IFERROR(VLOOKUP("transport|NOx|Asthma symptoms wheeze", US_national_yearly!$D:$AM, 36, FALSE) / VLOOKUP("transport|NOx|Asthma symptoms wheeze", US_national_yearly!$D:$AM, 10, FALSE), 1)</f>
        <v>3.9648214121274965E-3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5.0774998482727792E-5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5.2041563795154075E-5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5.3308129107580365E-5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5.4574694420006662E-5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5.5841259732432952E-5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5.7052139279864255E-5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5.8263018827295559E-5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5.9291080456229026E-5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6.031914208516248E-5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6.1347203714095947E-5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6.2375265343029407E-5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6.3403326971962868E-5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6.4090604680701498E-5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6.4777882389440155E-5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6.5465160098178798E-5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6.6152437806917455E-5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6.6839715515656098E-5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6.7207940288929532E-5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6.7576165062202965E-5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6.7944389835476385E-5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6.8312614608749805E-5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6.8680839382023252E-5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6.893247317608742E-5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6.9184106970151589E-5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6.9435740764215757E-5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6.9687374558279939E-5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6.9939008352344094E-5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2.4488666181847512E-4</v>
      </c>
      <c r="C13" s="7">
        <f>$B13 * IFERROR(VLOOKUP("transport|NOx|Non-fatal heart attacks", US_national_yearly!$D:$AM, 11, FALSE) / VLOOKUP("transport|NOx|Non-fatal heart attacks", US_national_yearly!$D:$AM, 10, FALSE), 1)</f>
        <v>2.5188775572095035E-4</v>
      </c>
      <c r="D13" s="7">
        <f>$B13 * IFERROR(VLOOKUP("transport|NOx|Non-fatal heart attacks", US_national_yearly!$D:$AM, 12, FALSE) / VLOOKUP("transport|NOx|Non-fatal heart attacks", US_national_yearly!$D:$AM, 10, FALSE), 1)</f>
        <v>2.5888884962342557E-4</v>
      </c>
      <c r="E13" s="7">
        <f>$B13 * IFERROR(VLOOKUP("transport|NOx|Non-fatal heart attacks", US_national_yearly!$D:$AM, 13, FALSE) / VLOOKUP("transport|NOx|Non-fatal heart attacks", US_national_yearly!$D:$AM, 10, FALSE), 1)</f>
        <v>2.6588994352590075E-4</v>
      </c>
      <c r="F13" s="7">
        <f>$B13 * IFERROR(VLOOKUP("transport|NOx|Non-fatal heart attacks", US_national_yearly!$D:$AM, 14, FALSE) / VLOOKUP("transport|NOx|Non-fatal heart attacks", US_national_yearly!$D:$AM, 10, FALSE), 1)</f>
        <v>2.7289103742837598E-4</v>
      </c>
      <c r="G13" s="7">
        <f>$B13 * IFERROR(VLOOKUP("transport|NOx|Non-fatal heart attacks", US_national_yearly!$D:$AM, 15, FALSE) / VLOOKUP("transport|NOx|Non-fatal heart attacks", US_national_yearly!$D:$AM, 10, FALSE), 1)</f>
        <v>2.7943354512953574E-4</v>
      </c>
      <c r="H13" s="7">
        <f>$B13 * IFERROR(VLOOKUP("transport|NOx|Non-fatal heart attacks", US_national_yearly!$D:$AM, 16, FALSE) / VLOOKUP("transport|NOx|Non-fatal heart attacks", US_national_yearly!$D:$AM, 10, FALSE), 1)</f>
        <v>2.8597605283069551E-4</v>
      </c>
      <c r="I13" s="7">
        <f>$B13 * IFERROR(VLOOKUP("transport|NOx|Non-fatal heart attacks", US_national_yearly!$D:$AM, 17, FALSE) / VLOOKUP("transport|NOx|Non-fatal heart attacks", US_national_yearly!$D:$AM, 10, FALSE), 1)</f>
        <v>2.9113407227302114E-4</v>
      </c>
      <c r="J13" s="7">
        <f>$B13 * IFERROR(VLOOKUP("transport|NOx|Non-fatal heart attacks", US_national_yearly!$D:$AM, 18, FALSE) / VLOOKUP("transport|NOx|Non-fatal heart attacks", US_national_yearly!$D:$AM, 10, FALSE), 1)</f>
        <v>2.9629209171534683E-4</v>
      </c>
      <c r="K13" s="7">
        <f>$B13 * IFERROR(VLOOKUP("transport|NOx|Non-fatal heart attacks", US_national_yearly!$D:$AM, 19, FALSE) / VLOOKUP("transport|NOx|Non-fatal heart attacks", US_national_yearly!$D:$AM, 10, FALSE), 1)</f>
        <v>3.014501111576723E-4</v>
      </c>
      <c r="L13" s="7">
        <f>$B13 * IFERROR(VLOOKUP("transport|NOx|Non-fatal heart attacks", US_national_yearly!$D:$AM, 20, FALSE) / VLOOKUP("transport|NOx|Non-fatal heart attacks", US_national_yearly!$D:$AM, 10, FALSE), 1)</f>
        <v>3.066081305999982E-4</v>
      </c>
      <c r="M13" s="7">
        <f>$B13 * IFERROR(VLOOKUP("transport|NOx|Non-fatal heart attacks", US_national_yearly!$D:$AM, 21, FALSE) / VLOOKUP("transport|NOx|Non-fatal heart attacks", US_national_yearly!$D:$AM, 10, FALSE), 1)</f>
        <v>3.1176615004232378E-4</v>
      </c>
      <c r="N13" s="7">
        <f>$B13 * IFERROR(VLOOKUP("transport|NOx|Non-fatal heart attacks", US_national_yearly!$D:$AM, 22, FALSE) / VLOOKUP("transport|NOx|Non-fatal heart attacks", US_national_yearly!$D:$AM, 10, FALSE), 1)</f>
        <v>3.1486937096390446E-4</v>
      </c>
      <c r="O13" s="7">
        <f>$B13 * IFERROR(VLOOKUP("transport|NOx|Non-fatal heart attacks", US_national_yearly!$D:$AM, 23, FALSE) / VLOOKUP("transport|NOx|Non-fatal heart attacks", US_national_yearly!$D:$AM, 10, FALSE), 1)</f>
        <v>3.1797259188548515E-4</v>
      </c>
      <c r="P13" s="7">
        <f>$B13 * IFERROR(VLOOKUP("transport|NOx|Non-fatal heart attacks", US_national_yearly!$D:$AM, 24, FALSE) / VLOOKUP("transport|NOx|Non-fatal heart attacks", US_national_yearly!$D:$AM, 10, FALSE), 1)</f>
        <v>3.2107581280706583E-4</v>
      </c>
      <c r="Q13" s="7">
        <f>$B13 * IFERROR(VLOOKUP("transport|NOx|Non-fatal heart attacks", US_national_yearly!$D:$AM, 25, FALSE) / VLOOKUP("transport|NOx|Non-fatal heart attacks", US_national_yearly!$D:$AM, 10, FALSE), 1)</f>
        <v>3.2417903372864657E-4</v>
      </c>
      <c r="R13" s="7">
        <f>$B13 * IFERROR(VLOOKUP("transport|NOx|Non-fatal heart attacks", US_national_yearly!$D:$AM, 26, FALSE) / VLOOKUP("transport|NOx|Non-fatal heart attacks", US_national_yearly!$D:$AM, 10, FALSE), 1)</f>
        <v>3.2728225465022726E-4</v>
      </c>
      <c r="S13" s="7">
        <f>$B13 * IFERROR(VLOOKUP("transport|NOx|Non-fatal heart attacks", US_national_yearly!$D:$AM, 27, FALSE) / VLOOKUP("transport|NOx|Non-fatal heart attacks", US_national_yearly!$D:$AM, 10, FALSE), 1)</f>
        <v>3.2868989712328664E-4</v>
      </c>
      <c r="T13" s="7">
        <f>$B13 * IFERROR(VLOOKUP("transport|NOx|Non-fatal heart attacks", US_national_yearly!$D:$AM, 28, FALSE) / VLOOKUP("transport|NOx|Non-fatal heart attacks", US_national_yearly!$D:$AM, 10, FALSE), 1)</f>
        <v>3.3009753959634597E-4</v>
      </c>
      <c r="U13" s="7">
        <f>$B13 * IFERROR(VLOOKUP("transport|NOx|Non-fatal heart attacks", US_national_yearly!$D:$AM, 29, FALSE) / VLOOKUP("transport|NOx|Non-fatal heart attacks", US_national_yearly!$D:$AM, 10, FALSE), 1)</f>
        <v>3.3150518206940529E-4</v>
      </c>
      <c r="V13" s="7">
        <f>$B13 * IFERROR(VLOOKUP("transport|NOx|Non-fatal heart attacks", US_national_yearly!$D:$AM, 30, FALSE) / VLOOKUP("transport|NOx|Non-fatal heart attacks", US_national_yearly!$D:$AM, 10, FALSE), 1)</f>
        <v>3.3291282454246462E-4</v>
      </c>
      <c r="W13" s="7">
        <f>$B13 * IFERROR(VLOOKUP("transport|NOx|Non-fatal heart attacks", US_national_yearly!$D:$AM, 31, FALSE) / VLOOKUP("transport|NOx|Non-fatal heart attacks", US_national_yearly!$D:$AM, 10, FALSE), 1)</f>
        <v>3.3432046701552395E-4</v>
      </c>
      <c r="X13" s="7">
        <f>$B13 * IFERROR(VLOOKUP("transport|NOx|Non-fatal heart attacks", US_national_yearly!$D:$AM, 32, FALSE) / VLOOKUP("transport|NOx|Non-fatal heart attacks", US_national_yearly!$D:$AM, 10, FALSE), 1)</f>
        <v>3.3526112778365014E-4</v>
      </c>
      <c r="Y13" s="7">
        <f>$B13 * IFERROR(VLOOKUP("transport|NOx|Non-fatal heart attacks", US_national_yearly!$D:$AM, 33, FALSE) / VLOOKUP("transport|NOx|Non-fatal heart attacks", US_national_yearly!$D:$AM, 10, FALSE), 1)</f>
        <v>3.3620178855177645E-4</v>
      </c>
      <c r="Z13" s="7">
        <f>$B13 * IFERROR(VLOOKUP("transport|NOx|Non-fatal heart attacks", US_national_yearly!$D:$AM, 34, FALSE) / VLOOKUP("transport|NOx|Non-fatal heart attacks", US_national_yearly!$D:$AM, 10, FALSE), 1)</f>
        <v>3.3714244931990259E-4</v>
      </c>
      <c r="AA13" s="7">
        <f>$B13 * IFERROR(VLOOKUP("transport|NOx|Non-fatal heart attacks", US_national_yearly!$D:$AM, 35, FALSE) / VLOOKUP("transport|NOx|Non-fatal heart attacks", US_national_yearly!$D:$AM, 10, FALSE), 1)</f>
        <v>3.3808311008802879E-4</v>
      </c>
      <c r="AB13" s="7">
        <f>$B13 * IFERROR(VLOOKUP("transport|NOx|Non-fatal heart attacks", US_national_yearly!$D:$AM, 36, FALSE) / VLOOKUP("transport|NOx|Non-fatal heart attacks", US_national_yearly!$D:$AM, 10, FALSE), 1)</f>
        <v>3.3902377085615504E-4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0.22744599669129284</v>
      </c>
      <c r="C14" s="7">
        <f>$B14 * IFERROR(VLOOKUP("transport|NOx|Minor restricted activity days", US_national_yearly!$D:$AM, 11, FALSE) / VLOOKUP("transport|NOx|Minor restricted activity days", US_national_yearly!$D:$AM, 10, FALSE), 1)</f>
        <v>0.22779470957389442</v>
      </c>
      <c r="D14" s="7">
        <f>$B14 * IFERROR(VLOOKUP("transport|NOx|Minor restricted activity days", US_national_yearly!$D:$AM, 12, FALSE) / VLOOKUP("transport|NOx|Minor restricted activity days", US_national_yearly!$D:$AM, 10, FALSE), 1)</f>
        <v>0.22814342245649605</v>
      </c>
      <c r="E14" s="7">
        <f>$B14 * IFERROR(VLOOKUP("transport|NOx|Minor restricted activity days", US_national_yearly!$D:$AM, 13, FALSE) / VLOOKUP("transport|NOx|Minor restricted activity days", US_national_yearly!$D:$AM, 10, FALSE), 1)</f>
        <v>0.22849213533909765</v>
      </c>
      <c r="F14" s="7">
        <f>$B14 * IFERROR(VLOOKUP("transport|NOx|Minor restricted activity days", US_national_yearly!$D:$AM, 14, FALSE) / VLOOKUP("transport|NOx|Minor restricted activity days", US_national_yearly!$D:$AM, 10, FALSE), 1)</f>
        <v>0.22884084822169923</v>
      </c>
      <c r="G14" s="7">
        <f>$B14 * IFERROR(VLOOKUP("transport|NOx|Minor restricted activity days", US_national_yearly!$D:$AM, 15, FALSE) / VLOOKUP("transport|NOx|Minor restricted activity days", US_national_yearly!$D:$AM, 10, FALSE), 1)</f>
        <v>0.2294705406868795</v>
      </c>
      <c r="H14" s="7">
        <f>$B14 * IFERROR(VLOOKUP("transport|NOx|Minor restricted activity days", US_national_yearly!$D:$AM, 16, FALSE) / VLOOKUP("transport|NOx|Minor restricted activity days", US_national_yearly!$D:$AM, 10, FALSE), 1)</f>
        <v>0.23010023315205971</v>
      </c>
      <c r="I14" s="7">
        <f>$B14 * IFERROR(VLOOKUP("transport|NOx|Minor restricted activity days", US_national_yearly!$D:$AM, 17, FALSE) / VLOOKUP("transport|NOx|Minor restricted activity days", US_national_yearly!$D:$AM, 10, FALSE), 1)</f>
        <v>0.23133188671333565</v>
      </c>
      <c r="J14" s="7">
        <f>$B14 * IFERROR(VLOOKUP("transport|NOx|Minor restricted activity days", US_national_yearly!$D:$AM, 18, FALSE) / VLOOKUP("transport|NOx|Minor restricted activity days", US_national_yearly!$D:$AM, 10, FALSE), 1)</f>
        <v>0.23256354027461151</v>
      </c>
      <c r="K14" s="7">
        <f>$B14 * IFERROR(VLOOKUP("transport|NOx|Minor restricted activity days", US_national_yearly!$D:$AM, 19, FALSE) / VLOOKUP("transport|NOx|Minor restricted activity days", US_national_yearly!$D:$AM, 10, FALSE), 1)</f>
        <v>0.23379519383588745</v>
      </c>
      <c r="L14" s="7">
        <f>$B14 * IFERROR(VLOOKUP("transport|NOx|Minor restricted activity days", US_national_yearly!$D:$AM, 20, FALSE) / VLOOKUP("transport|NOx|Minor restricted activity days", US_national_yearly!$D:$AM, 10, FALSE), 1)</f>
        <v>0.23502684739716331</v>
      </c>
      <c r="M14" s="7">
        <f>$B14 * IFERROR(VLOOKUP("transport|NOx|Minor restricted activity days", US_national_yearly!$D:$AM, 21, FALSE) / VLOOKUP("transport|NOx|Minor restricted activity days", US_national_yearly!$D:$AM, 10, FALSE), 1)</f>
        <v>0.23625850095843923</v>
      </c>
      <c r="N14" s="7">
        <f>$B14 * IFERROR(VLOOKUP("transport|NOx|Minor restricted activity days", US_national_yearly!$D:$AM, 22, FALSE) / VLOOKUP("transport|NOx|Minor restricted activity days", US_national_yearly!$D:$AM, 10, FALSE), 1)</f>
        <v>0.23802194958679018</v>
      </c>
      <c r="O14" s="7">
        <f>$B14 * IFERROR(VLOOKUP("transport|NOx|Minor restricted activity days", US_national_yearly!$D:$AM, 23, FALSE) / VLOOKUP("transport|NOx|Minor restricted activity days", US_national_yearly!$D:$AM, 10, FALSE), 1)</f>
        <v>0.23978539821514114</v>
      </c>
      <c r="P14" s="7">
        <f>$B14 * IFERROR(VLOOKUP("transport|NOx|Minor restricted activity days", US_national_yearly!$D:$AM, 24, FALSE) / VLOOKUP("transport|NOx|Minor restricted activity days", US_national_yearly!$D:$AM, 10, FALSE), 1)</f>
        <v>0.24154884684349209</v>
      </c>
      <c r="Q14" s="7">
        <f>$B14 * IFERROR(VLOOKUP("transport|NOx|Minor restricted activity days", US_national_yearly!$D:$AM, 25, FALSE) / VLOOKUP("transport|NOx|Minor restricted activity days", US_national_yearly!$D:$AM, 10, FALSE), 1)</f>
        <v>0.24331229547184302</v>
      </c>
      <c r="R14" s="7">
        <f>$B14 * IFERROR(VLOOKUP("transport|NOx|Minor restricted activity days", US_national_yearly!$D:$AM, 26, FALSE) / VLOOKUP("transport|NOx|Minor restricted activity days", US_national_yearly!$D:$AM, 10, FALSE), 1)</f>
        <v>0.24507574410019398</v>
      </c>
      <c r="S14" s="7">
        <f>$B14 * IFERROR(VLOOKUP("transport|NOx|Minor restricted activity days", US_national_yearly!$D:$AM, 27, FALSE) / VLOOKUP("transport|NOx|Minor restricted activity days", US_national_yearly!$D:$AM, 10, FALSE), 1)</f>
        <v>0.24683882196724521</v>
      </c>
      <c r="T14" s="7">
        <f>$B14 * IFERROR(VLOOKUP("transport|NOx|Minor restricted activity days", US_national_yearly!$D:$AM, 28, FALSE) / VLOOKUP("transport|NOx|Minor restricted activity days", US_national_yearly!$D:$AM, 10, FALSE), 1)</f>
        <v>0.24860189983429637</v>
      </c>
      <c r="U14" s="7">
        <f>$B14 * IFERROR(VLOOKUP("transport|NOx|Minor restricted activity days", US_national_yearly!$D:$AM, 29, FALSE) / VLOOKUP("transport|NOx|Minor restricted activity days", US_national_yearly!$D:$AM, 10, FALSE), 1)</f>
        <v>0.25036497770134758</v>
      </c>
      <c r="V14" s="7">
        <f>$B14 * IFERROR(VLOOKUP("transport|NOx|Minor restricted activity days", US_national_yearly!$D:$AM, 30, FALSE) / VLOOKUP("transport|NOx|Minor restricted activity days", US_national_yearly!$D:$AM, 10, FALSE), 1)</f>
        <v>0.25212805556839885</v>
      </c>
      <c r="W14" s="7">
        <f>$B14 * IFERROR(VLOOKUP("transport|NOx|Minor restricted activity days", US_national_yearly!$D:$AM, 31, FALSE) / VLOOKUP("transport|NOx|Minor restricted activity days", US_national_yearly!$D:$AM, 10, FALSE), 1)</f>
        <v>0.25389113343545</v>
      </c>
      <c r="X14" s="7">
        <f>$B14 * IFERROR(VLOOKUP("transport|NOx|Minor restricted activity days", US_national_yearly!$D:$AM, 32, FALSE) / VLOOKUP("transport|NOx|Minor restricted activity days", US_national_yearly!$D:$AM, 10, FALSE), 1)</f>
        <v>0.25538174860612733</v>
      </c>
      <c r="Y14" s="7">
        <f>$B14 * IFERROR(VLOOKUP("transport|NOx|Minor restricted activity days", US_national_yearly!$D:$AM, 33, FALSE) / VLOOKUP("transport|NOx|Minor restricted activity days", US_national_yearly!$D:$AM, 10, FALSE), 1)</f>
        <v>0.25687236377680467</v>
      </c>
      <c r="Z14" s="7">
        <f>$B14 * IFERROR(VLOOKUP("transport|NOx|Minor restricted activity days", US_national_yearly!$D:$AM, 34, FALSE) / VLOOKUP("transport|NOx|Minor restricted activity days", US_national_yearly!$D:$AM, 10, FALSE), 1)</f>
        <v>0.258362978947482</v>
      </c>
      <c r="AA14" s="7">
        <f>$B14 * IFERROR(VLOOKUP("transport|NOx|Minor restricted activity days", US_national_yearly!$D:$AM, 35, FALSE) / VLOOKUP("transport|NOx|Minor restricted activity days", US_national_yearly!$D:$AM, 10, FALSE), 1)</f>
        <v>0.25985359411815934</v>
      </c>
      <c r="AB14" s="7">
        <f>$B14 * IFERROR(VLOOKUP("transport|NOx|Minor restricted activity days", US_national_yearly!$D:$AM, 36, FALSE) / VLOOKUP("transport|NOx|Minor restricted activity days", US_national_yearly!$D:$AM, 10, FALSE), 1)</f>
        <v>0.26134420928883667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3.8714997048406655E-2</v>
      </c>
      <c r="C15" s="7">
        <f>$B15 * IFERROR(VLOOKUP("transport|NOx|Work loss days", US_national_yearly!$D:$AM, 11, FALSE) / VLOOKUP("transport|NOx|Work loss days", US_national_yearly!$D:$AM, 10, FALSE), 1)</f>
        <v>3.8801116476605557E-2</v>
      </c>
      <c r="D15" s="7">
        <f>$B15 * IFERROR(VLOOKUP("transport|NOx|Work loss days", US_national_yearly!$D:$AM, 12, FALSE) / VLOOKUP("transport|NOx|Work loss days", US_national_yearly!$D:$AM, 10, FALSE), 1)</f>
        <v>3.8887235904804467E-2</v>
      </c>
      <c r="E15" s="7">
        <f>$B15 * IFERROR(VLOOKUP("transport|NOx|Work loss days", US_national_yearly!$D:$AM, 13, FALSE) / VLOOKUP("transport|NOx|Work loss days", US_national_yearly!$D:$AM, 10, FALSE), 1)</f>
        <v>3.8973355333003369E-2</v>
      </c>
      <c r="F15" s="7">
        <f>$B15 * IFERROR(VLOOKUP("transport|NOx|Work loss days", US_national_yearly!$D:$AM, 14, FALSE) / VLOOKUP("transport|NOx|Work loss days", US_national_yearly!$D:$AM, 10, FALSE), 1)</f>
        <v>3.9059474761202279E-2</v>
      </c>
      <c r="G15" s="7">
        <f>$B15 * IFERROR(VLOOKUP("transport|NOx|Work loss days", US_national_yearly!$D:$AM, 15, FALSE) / VLOOKUP("transport|NOx|Work loss days", US_national_yearly!$D:$AM, 10, FALSE), 1)</f>
        <v>3.9185209861009637E-2</v>
      </c>
      <c r="H15" s="7">
        <f>$B15 * IFERROR(VLOOKUP("transport|NOx|Work loss days", US_national_yearly!$D:$AM, 16, FALSE) / VLOOKUP("transport|NOx|Work loss days", US_national_yearly!$D:$AM, 10, FALSE), 1)</f>
        <v>3.931094496081701E-2</v>
      </c>
      <c r="I15" s="7">
        <f>$B15 * IFERROR(VLOOKUP("transport|NOx|Work loss days", US_national_yearly!$D:$AM, 17, FALSE) / VLOOKUP("transport|NOx|Work loss days", US_national_yearly!$D:$AM, 10, FALSE), 1)</f>
        <v>3.9514629008138222E-2</v>
      </c>
      <c r="J15" s="7">
        <f>$B15 * IFERROR(VLOOKUP("transport|NOx|Work loss days", US_national_yearly!$D:$AM, 18, FALSE) / VLOOKUP("transport|NOx|Work loss days", US_national_yearly!$D:$AM, 10, FALSE), 1)</f>
        <v>3.9718313055459441E-2</v>
      </c>
      <c r="K15" s="7">
        <f>$B15 * IFERROR(VLOOKUP("transport|NOx|Work loss days", US_national_yearly!$D:$AM, 19, FALSE) / VLOOKUP("transport|NOx|Work loss days", US_national_yearly!$D:$AM, 10, FALSE), 1)</f>
        <v>3.9921997102780646E-2</v>
      </c>
      <c r="L15" s="7">
        <f>$B15 * IFERROR(VLOOKUP("transport|NOx|Work loss days", US_national_yearly!$D:$AM, 20, FALSE) / VLOOKUP("transport|NOx|Work loss days", US_national_yearly!$D:$AM, 10, FALSE), 1)</f>
        <v>4.0125681150101858E-2</v>
      </c>
      <c r="M15" s="7">
        <f>$B15 * IFERROR(VLOOKUP("transport|NOx|Work loss days", US_national_yearly!$D:$AM, 21, FALSE) / VLOOKUP("transport|NOx|Work loss days", US_national_yearly!$D:$AM, 10, FALSE), 1)</f>
        <v>4.0329365197423077E-2</v>
      </c>
      <c r="N15" s="7">
        <f>$B15 * IFERROR(VLOOKUP("transport|NOx|Work loss days", US_national_yearly!$D:$AM, 22, FALSE) / VLOOKUP("transport|NOx|Work loss days", US_national_yearly!$D:$AM, 10, FALSE), 1)</f>
        <v>4.0594447486401765E-2</v>
      </c>
      <c r="O15" s="7">
        <f>$B15 * IFERROR(VLOOKUP("transport|NOx|Work loss days", US_national_yearly!$D:$AM, 23, FALSE) / VLOOKUP("transport|NOx|Work loss days", US_national_yearly!$D:$AM, 10, FALSE), 1)</f>
        <v>4.0859529775380453E-2</v>
      </c>
      <c r="P15" s="7">
        <f>$B15 * IFERROR(VLOOKUP("transport|NOx|Work loss days", US_national_yearly!$D:$AM, 24, FALSE) / VLOOKUP("transport|NOx|Work loss days", US_national_yearly!$D:$AM, 10, FALSE), 1)</f>
        <v>4.1124612064359141E-2</v>
      </c>
      <c r="Q15" s="7">
        <f>$B15 * IFERROR(VLOOKUP("transport|NOx|Work loss days", US_national_yearly!$D:$AM, 25, FALSE) / VLOOKUP("transport|NOx|Work loss days", US_national_yearly!$D:$AM, 10, FALSE), 1)</f>
        <v>4.1389694353337822E-2</v>
      </c>
      <c r="R15" s="7">
        <f>$B15 * IFERROR(VLOOKUP("transport|NOx|Work loss days", US_national_yearly!$D:$AM, 26, FALSE) / VLOOKUP("transport|NOx|Work loss days", US_national_yearly!$D:$AM, 10, FALSE), 1)</f>
        <v>4.1654776642316517E-2</v>
      </c>
      <c r="S15" s="7">
        <f>$B15 * IFERROR(VLOOKUP("transport|NOx|Work loss days", US_national_yearly!$D:$AM, 27, FALSE) / VLOOKUP("transport|NOx|Work loss days", US_national_yearly!$D:$AM, 10, FALSE), 1)</f>
        <v>4.1950309500574878E-2</v>
      </c>
      <c r="T15" s="7">
        <f>$B15 * IFERROR(VLOOKUP("transport|NOx|Work loss days", US_national_yearly!$D:$AM, 28, FALSE) / VLOOKUP("transport|NOx|Work loss days", US_national_yearly!$D:$AM, 10, FALSE), 1)</f>
        <v>4.224584235883324E-2</v>
      </c>
      <c r="U15" s="7">
        <f>$B15 * IFERROR(VLOOKUP("transport|NOx|Work loss days", US_national_yearly!$D:$AM, 29, FALSE) / VLOOKUP("transport|NOx|Work loss days", US_national_yearly!$D:$AM, 10, FALSE), 1)</f>
        <v>4.2541375217091587E-2</v>
      </c>
      <c r="V15" s="7">
        <f>$B15 * IFERROR(VLOOKUP("transport|NOx|Work loss days", US_national_yearly!$D:$AM, 30, FALSE) / VLOOKUP("transport|NOx|Work loss days", US_national_yearly!$D:$AM, 10, FALSE), 1)</f>
        <v>4.2836908075349948E-2</v>
      </c>
      <c r="W15" s="7">
        <f>$B15 * IFERROR(VLOOKUP("transport|NOx|Work loss days", US_national_yearly!$D:$AM, 31, FALSE) / VLOOKUP("transport|NOx|Work loss days", US_national_yearly!$D:$AM, 10, FALSE), 1)</f>
        <v>4.313244093360831E-2</v>
      </c>
      <c r="X15" s="7">
        <f>$B15 * IFERROR(VLOOKUP("transport|NOx|Work loss days", US_national_yearly!$D:$AM, 32, FALSE) / VLOOKUP("transport|NOx|Work loss days", US_national_yearly!$D:$AM, 10, FALSE), 1)</f>
        <v>4.3388947697727831E-2</v>
      </c>
      <c r="Y15" s="7">
        <f>$B15 * IFERROR(VLOOKUP("transport|NOx|Work loss days", US_national_yearly!$D:$AM, 33, FALSE) / VLOOKUP("transport|NOx|Work loss days", US_national_yearly!$D:$AM, 10, FALSE), 1)</f>
        <v>4.3645454461847352E-2</v>
      </c>
      <c r="Z15" s="7">
        <f>$B15 * IFERROR(VLOOKUP("transport|NOx|Work loss days", US_national_yearly!$D:$AM, 34, FALSE) / VLOOKUP("transport|NOx|Work loss days", US_national_yearly!$D:$AM, 10, FALSE), 1)</f>
        <v>4.3901961225966873E-2</v>
      </c>
      <c r="AA15" s="7">
        <f>$B15 * IFERROR(VLOOKUP("transport|NOx|Work loss days", US_national_yearly!$D:$AM, 35, FALSE) / VLOOKUP("transport|NOx|Work loss days", US_national_yearly!$D:$AM, 10, FALSE), 1)</f>
        <v>4.4158467990086395E-2</v>
      </c>
      <c r="AB15" s="7">
        <f>$B15 * IFERROR(VLOOKUP("transport|NOx|Work loss days", US_national_yearly!$D:$AM, 36, FALSE) / VLOOKUP("transport|NOx|Work loss days", US_national_yearly!$D:$AM, 10, FALSE), 1)</f>
        <v>4.4414974754205916E-2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5.7252590662396245E-5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5.8934936953826823E-5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6.0617283245257387E-5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6.2299629536687951E-5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6.3981975828118529E-5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6.5579926587635087E-5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6.7177877347151645E-5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6.8521630660962001E-5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6.9865383974772343E-5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7.1209137288582699E-5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7.2552890602393055E-5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7.389664391620341E-5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7.4736937388307273E-5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7.5577230860411149E-5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7.6417524332515012E-5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7.7257817804618888E-5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7.809811127672275E-5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7.8481514113181073E-5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7.8864916949639396E-5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7.9248319786097705E-5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7.9631722622556028E-5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8.0015125459014351E-5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8.0228502429932082E-5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8.0441879400849813E-5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8.0655256371767531E-5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8.0868633342685262E-5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8.1082010313602993E-5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1.3685618041708106E-3</v>
      </c>
      <c r="C2" s="7">
        <f>$B2 * IFERROR(VLOOKUP("transport|SO2|Premature mortality", US_national_yearly!$D:$AM, 11, FALSE) / VLOOKUP("transport|SO2|Premature mortality", US_national_yearly!$D:$AM, 10, FALSE), 1)</f>
        <v>1.3858938989405201E-3</v>
      </c>
      <c r="D2" s="7">
        <f>$B2 * IFERROR(VLOOKUP("transport|SO2|Premature mortality", US_national_yearly!$D:$AM, 12, FALSE) / VLOOKUP("transport|SO2|Premature mortality", US_national_yearly!$D:$AM, 10, FALSE), 1)</f>
        <v>1.4032259937102301E-3</v>
      </c>
      <c r="E2" s="7">
        <f>$B2 * IFERROR(VLOOKUP("transport|SO2|Premature mortality", US_national_yearly!$D:$AM, 13, FALSE) / VLOOKUP("transport|SO2|Premature mortality", US_national_yearly!$D:$AM, 10, FALSE), 1)</f>
        <v>1.4205580884799397E-3</v>
      </c>
      <c r="F2" s="7">
        <f>$B2 * IFERROR(VLOOKUP("transport|SO2|Premature mortality", US_national_yearly!$D:$AM, 14, FALSE) / VLOOKUP("transport|SO2|Premature mortality", US_national_yearly!$D:$AM, 10, FALSE), 1)</f>
        <v>1.4378901832496492E-3</v>
      </c>
      <c r="G2" s="7">
        <f>$B2 * IFERROR(VLOOKUP("transport|SO2|Premature mortality", US_national_yearly!$D:$AM, 15, FALSE) / VLOOKUP("transport|SO2|Premature mortality", US_national_yearly!$D:$AM, 10, FALSE), 1)</f>
        <v>1.4712881475943103E-3</v>
      </c>
      <c r="H2" s="7">
        <f>$B2 * IFERROR(VLOOKUP("transport|SO2|Premature mortality", US_national_yearly!$D:$AM, 16, FALSE) / VLOOKUP("transport|SO2|Premature mortality", US_national_yearly!$D:$AM, 10, FALSE), 1)</f>
        <v>1.504686111938971E-3</v>
      </c>
      <c r="I2" s="7">
        <f>$B2 * IFERROR(VLOOKUP("transport|SO2|Premature mortality", US_national_yearly!$D:$AM, 17, FALSE) / VLOOKUP("transport|SO2|Premature mortality", US_national_yearly!$D:$AM, 10, FALSE), 1)</f>
        <v>1.5267575332054391E-3</v>
      </c>
      <c r="J2" s="7">
        <f>$B2 * IFERROR(VLOOKUP("transport|SO2|Premature mortality", US_national_yearly!$D:$AM, 18, FALSE) / VLOOKUP("transport|SO2|Premature mortality", US_national_yearly!$D:$AM, 10, FALSE), 1)</f>
        <v>1.5488289544719073E-3</v>
      </c>
      <c r="K2" s="7">
        <f>$B2 * IFERROR(VLOOKUP("transport|SO2|Premature mortality", US_national_yearly!$D:$AM, 19, FALSE) / VLOOKUP("transport|SO2|Premature mortality", US_national_yearly!$D:$AM, 10, FALSE), 1)</f>
        <v>1.5709003757383749E-3</v>
      </c>
      <c r="L2" s="7">
        <f>$B2 * IFERROR(VLOOKUP("transport|SO2|Premature mortality", US_national_yearly!$D:$AM, 20, FALSE) / VLOOKUP("transport|SO2|Premature mortality", US_national_yearly!$D:$AM, 10, FALSE), 1)</f>
        <v>1.5929717970048429E-3</v>
      </c>
      <c r="M2" s="7">
        <f>$B2 * IFERROR(VLOOKUP("transport|SO2|Premature mortality", US_national_yearly!$D:$AM, 21, FALSE) / VLOOKUP("transport|SO2|Premature mortality", US_national_yearly!$D:$AM, 10, FALSE), 1)</f>
        <v>1.615043218271311E-3</v>
      </c>
      <c r="N2" s="7">
        <f>$B2 * IFERROR(VLOOKUP("transport|SO2|Premature mortality", US_national_yearly!$D:$AM, 22, FALSE) / VLOOKUP("transport|SO2|Premature mortality", US_national_yearly!$D:$AM, 10, FALSE), 1)</f>
        <v>1.6322886296348568E-3</v>
      </c>
      <c r="O2" s="7">
        <f>$B2 * IFERROR(VLOOKUP("transport|SO2|Premature mortality", US_national_yearly!$D:$AM, 23, FALSE) / VLOOKUP("transport|SO2|Premature mortality", US_national_yearly!$D:$AM, 10, FALSE), 1)</f>
        <v>1.6495340409984028E-3</v>
      </c>
      <c r="P2" s="7">
        <f>$B2 * IFERROR(VLOOKUP("transport|SO2|Premature mortality", US_national_yearly!$D:$AM, 24, FALSE) / VLOOKUP("transport|SO2|Premature mortality", US_national_yearly!$D:$AM, 10, FALSE), 1)</f>
        <v>1.6667794523619489E-3</v>
      </c>
      <c r="Q2" s="7">
        <f>$B2 * IFERROR(VLOOKUP("transport|SO2|Premature mortality", US_national_yearly!$D:$AM, 25, FALSE) / VLOOKUP("transport|SO2|Premature mortality", US_national_yearly!$D:$AM, 10, FALSE), 1)</f>
        <v>1.6840248637254947E-3</v>
      </c>
      <c r="R2" s="7">
        <f>$B2 * IFERROR(VLOOKUP("transport|SO2|Premature mortality", US_national_yearly!$D:$AM, 26, FALSE) / VLOOKUP("transport|SO2|Premature mortality", US_national_yearly!$D:$AM, 10, FALSE), 1)</f>
        <v>1.7012702750890403E-3</v>
      </c>
      <c r="S2" s="7">
        <f>$B2 * IFERROR(VLOOKUP("transport|SO2|Premature mortality", US_national_yearly!$D:$AM, 27, FALSE) / VLOOKUP("transport|SO2|Premature mortality", US_national_yearly!$D:$AM, 10, FALSE), 1)</f>
        <v>1.7105054225003077E-3</v>
      </c>
      <c r="T2" s="7">
        <f>$B2 * IFERROR(VLOOKUP("transport|SO2|Premature mortality", US_national_yearly!$D:$AM, 28, FALSE) / VLOOKUP("transport|SO2|Premature mortality", US_national_yearly!$D:$AM, 10, FALSE), 1)</f>
        <v>1.7197405699115747E-3</v>
      </c>
      <c r="U2" s="7">
        <f>$B2 * IFERROR(VLOOKUP("transport|SO2|Premature mortality", US_national_yearly!$D:$AM, 29, FALSE) / VLOOKUP("transport|SO2|Premature mortality", US_national_yearly!$D:$AM, 10, FALSE), 1)</f>
        <v>1.7289757173228418E-3</v>
      </c>
      <c r="V2" s="7">
        <f>$B2 * IFERROR(VLOOKUP("transport|SO2|Premature mortality", US_national_yearly!$D:$AM, 30, FALSE) / VLOOKUP("transport|SO2|Premature mortality", US_national_yearly!$D:$AM, 10, FALSE), 1)</f>
        <v>1.7382108647341088E-3</v>
      </c>
      <c r="W2" s="7">
        <f>$B2 * IFERROR(VLOOKUP("transport|SO2|Premature mortality", US_national_yearly!$D:$AM, 31, FALSE) / VLOOKUP("transport|SO2|Premature mortality", US_national_yearly!$D:$AM, 10, FALSE), 1)</f>
        <v>1.747446012145376E-3</v>
      </c>
      <c r="X2" s="7">
        <f>$B2 * IFERROR(VLOOKUP("transport|SO2|Premature mortality", US_national_yearly!$D:$AM, 32, FALSE) / VLOOKUP("transport|SO2|Premature mortality", US_national_yearly!$D:$AM, 10, FALSE), 1)</f>
        <v>1.7493221605901666E-3</v>
      </c>
      <c r="Y2" s="7">
        <f>$B2 * IFERROR(VLOOKUP("transport|SO2|Premature mortality", US_national_yearly!$D:$AM, 33, FALSE) / VLOOKUP("transport|SO2|Premature mortality", US_national_yearly!$D:$AM, 10, FALSE), 1)</f>
        <v>1.7511983090349572E-3</v>
      </c>
      <c r="Z2" s="7">
        <f>$B2 * IFERROR(VLOOKUP("transport|SO2|Premature mortality", US_national_yearly!$D:$AM, 34, FALSE) / VLOOKUP("transport|SO2|Premature mortality", US_national_yearly!$D:$AM, 10, FALSE), 1)</f>
        <v>1.753074457479748E-3</v>
      </c>
      <c r="AA2" s="7">
        <f>$B2 * IFERROR(VLOOKUP("transport|SO2|Premature mortality", US_national_yearly!$D:$AM, 35, FALSE) / VLOOKUP("transport|SO2|Premature mortality", US_national_yearly!$D:$AM, 10, FALSE), 1)</f>
        <v>1.7549506059245385E-3</v>
      </c>
      <c r="AB2" s="7">
        <f>$B2 * IFERROR(VLOOKUP("transport|SO2|Premature mortality", US_national_yearly!$D:$AM, 36, FALSE) / VLOOKUP("transport|SO2|Premature mortality", US_national_yearly!$D:$AM, 10, FALSE), 1)</f>
        <v>1.7568267543693291E-3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2.9906093228440352E-6</v>
      </c>
      <c r="C3" s="7">
        <f>$B3 * IFERROR(VLOOKUP("transport|SO2|Infant mortality", US_national_yearly!$D:$AM, 11, FALSE) / VLOOKUP("transport|SO2|Infant mortality", US_national_yearly!$D:$AM, 10, FALSE), 1)</f>
        <v>2.9649194432570039E-6</v>
      </c>
      <c r="D3" s="7">
        <f>$B3 * IFERROR(VLOOKUP("transport|SO2|Infant mortality", US_national_yearly!$D:$AM, 12, FALSE) / VLOOKUP("transport|SO2|Infant mortality", US_national_yearly!$D:$AM, 10, FALSE), 1)</f>
        <v>2.9392295636699729E-6</v>
      </c>
      <c r="E3" s="7">
        <f>$B3 * IFERROR(VLOOKUP("transport|SO2|Infant mortality", US_national_yearly!$D:$AM, 13, FALSE) / VLOOKUP("transport|SO2|Infant mortality", US_national_yearly!$D:$AM, 10, FALSE), 1)</f>
        <v>2.9135396840829411E-6</v>
      </c>
      <c r="F3" s="7">
        <f>$B3 * IFERROR(VLOOKUP("transport|SO2|Infant mortality", US_national_yearly!$D:$AM, 14, FALSE) / VLOOKUP("transport|SO2|Infant mortality", US_national_yearly!$D:$AM, 10, FALSE), 1)</f>
        <v>2.8878498044959102E-6</v>
      </c>
      <c r="G3" s="7">
        <f>$B3 * IFERROR(VLOOKUP("transport|SO2|Infant mortality", US_national_yearly!$D:$AM, 15, FALSE) / VLOOKUP("transport|SO2|Infant mortality", US_national_yearly!$D:$AM, 10, FALSE), 1)</f>
        <v>1.9235405617823285E-6</v>
      </c>
      <c r="H3" s="7">
        <f>$B3 * IFERROR(VLOOKUP("transport|SO2|Infant mortality", US_national_yearly!$D:$AM, 16, FALSE) / VLOOKUP("transport|SO2|Infant mortality", US_national_yearly!$D:$AM, 10, FALSE), 1)</f>
        <v>9.5923131906874801E-7</v>
      </c>
      <c r="I3" s="7">
        <f>$B3 * IFERROR(VLOOKUP("transport|SO2|Infant mortality", US_national_yearly!$D:$AM, 17, FALSE) / VLOOKUP("transport|SO2|Infant mortality", US_national_yearly!$D:$AM, 10, FALSE), 1)</f>
        <v>9.5321377134124111E-7</v>
      </c>
      <c r="J3" s="7">
        <f>$B3 * IFERROR(VLOOKUP("transport|SO2|Infant mortality", US_national_yearly!$D:$AM, 18, FALSE) / VLOOKUP("transport|SO2|Infant mortality", US_national_yearly!$D:$AM, 10, FALSE), 1)</f>
        <v>9.4719622361373421E-7</v>
      </c>
      <c r="K3" s="7">
        <f>$B3 * IFERROR(VLOOKUP("transport|SO2|Infant mortality", US_national_yearly!$D:$AM, 19, FALSE) / VLOOKUP("transport|SO2|Infant mortality", US_national_yearly!$D:$AM, 10, FALSE), 1)</f>
        <v>9.411786758862273E-7</v>
      </c>
      <c r="L3" s="7">
        <f>$B3 * IFERROR(VLOOKUP("transport|SO2|Infant mortality", US_national_yearly!$D:$AM, 20, FALSE) / VLOOKUP("transport|SO2|Infant mortality", US_national_yearly!$D:$AM, 10, FALSE), 1)</f>
        <v>9.3516112815872051E-7</v>
      </c>
      <c r="M3" s="7">
        <f>$B3 * IFERROR(VLOOKUP("transport|SO2|Infant mortality", US_national_yearly!$D:$AM, 21, FALSE) / VLOOKUP("transport|SO2|Infant mortality", US_national_yearly!$D:$AM, 10, FALSE), 1)</f>
        <v>9.291435804312136E-7</v>
      </c>
      <c r="N3" s="7">
        <f>$B3 * IFERROR(VLOOKUP("transport|SO2|Infant mortality", US_national_yearly!$D:$AM, 22, FALSE) / VLOOKUP("transport|SO2|Infant mortality", US_national_yearly!$D:$AM, 10, FALSE), 1)</f>
        <v>9.2536641077400482E-7</v>
      </c>
      <c r="O3" s="7">
        <f>$B3 * IFERROR(VLOOKUP("transport|SO2|Infant mortality", US_national_yearly!$D:$AM, 23, FALSE) / VLOOKUP("transport|SO2|Infant mortality", US_national_yearly!$D:$AM, 10, FALSE), 1)</f>
        <v>9.2158924111679603E-7</v>
      </c>
      <c r="P3" s="7">
        <f>$B3 * IFERROR(VLOOKUP("transport|SO2|Infant mortality", US_national_yearly!$D:$AM, 24, FALSE) / VLOOKUP("transport|SO2|Infant mortality", US_national_yearly!$D:$AM, 10, FALSE), 1)</f>
        <v>9.1781207145958703E-7</v>
      </c>
      <c r="Q3" s="7">
        <f>$B3 * IFERROR(VLOOKUP("transport|SO2|Infant mortality", US_national_yearly!$D:$AM, 25, FALSE) / VLOOKUP("transport|SO2|Infant mortality", US_national_yearly!$D:$AM, 10, FALSE), 1)</f>
        <v>9.1403490180237825E-7</v>
      </c>
      <c r="R3" s="7">
        <f>$B3 * IFERROR(VLOOKUP("transport|SO2|Infant mortality", US_national_yearly!$D:$AM, 26, FALSE) / VLOOKUP("transport|SO2|Infant mortality", US_national_yearly!$D:$AM, 10, FALSE), 1)</f>
        <v>9.1025773214516935E-7</v>
      </c>
      <c r="S3" s="7">
        <f>$B3 * IFERROR(VLOOKUP("transport|SO2|Infant mortality", US_national_yearly!$D:$AM, 27, FALSE) / VLOOKUP("transport|SO2|Infant mortality", US_national_yearly!$D:$AM, 10, FALSE), 1)</f>
        <v>9.0551526553044247E-7</v>
      </c>
      <c r="T3" s="7">
        <f>$B3 * IFERROR(VLOOKUP("transport|SO2|Infant mortality", US_national_yearly!$D:$AM, 28, FALSE) / VLOOKUP("transport|SO2|Infant mortality", US_national_yearly!$D:$AM, 10, FALSE), 1)</f>
        <v>9.0077279891571559E-7</v>
      </c>
      <c r="U3" s="7">
        <f>$B3 * IFERROR(VLOOKUP("transport|SO2|Infant mortality", US_national_yearly!$D:$AM, 29, FALSE) / VLOOKUP("transport|SO2|Infant mortality", US_national_yearly!$D:$AM, 10, FALSE), 1)</f>
        <v>8.9603033230098828E-7</v>
      </c>
      <c r="V3" s="7">
        <f>$B3 * IFERROR(VLOOKUP("transport|SO2|Infant mortality", US_national_yearly!$D:$AM, 30, FALSE) / VLOOKUP("transport|SO2|Infant mortality", US_national_yearly!$D:$AM, 10, FALSE), 1)</f>
        <v>8.9128786568626161E-7</v>
      </c>
      <c r="W3" s="7">
        <f>$B3 * IFERROR(VLOOKUP("transport|SO2|Infant mortality", US_national_yearly!$D:$AM, 31, FALSE) / VLOOKUP("transport|SO2|Infant mortality", US_national_yearly!$D:$AM, 10, FALSE), 1)</f>
        <v>8.8654539907153452E-7</v>
      </c>
      <c r="X3" s="7">
        <f>$B3 * IFERROR(VLOOKUP("transport|SO2|Infant mortality", US_national_yearly!$D:$AM, 32, FALSE) / VLOOKUP("transport|SO2|Infant mortality", US_national_yearly!$D:$AM, 10, FALSE), 1)</f>
        <v>8.813604191946427E-7</v>
      </c>
      <c r="Y3" s="7">
        <f>$B3 * IFERROR(VLOOKUP("transport|SO2|Infant mortality", US_national_yearly!$D:$AM, 33, FALSE) / VLOOKUP("transport|SO2|Infant mortality", US_national_yearly!$D:$AM, 10, FALSE), 1)</f>
        <v>8.7617543931775046E-7</v>
      </c>
      <c r="Z3" s="7">
        <f>$B3 * IFERROR(VLOOKUP("transport|SO2|Infant mortality", US_national_yearly!$D:$AM, 34, FALSE) / VLOOKUP("transport|SO2|Infant mortality", US_national_yearly!$D:$AM, 10, FALSE), 1)</f>
        <v>8.7099045944085864E-7</v>
      </c>
      <c r="AA3" s="7">
        <f>$B3 * IFERROR(VLOOKUP("transport|SO2|Infant mortality", US_national_yearly!$D:$AM, 35, FALSE) / VLOOKUP("transport|SO2|Infant mortality", US_national_yearly!$D:$AM, 10, FALSE), 1)</f>
        <v>8.658054795639664E-7</v>
      </c>
      <c r="AB3" s="7">
        <f>$B3 * IFERROR(VLOOKUP("transport|SO2|Infant mortality", US_national_yearly!$D:$AM, 36, FALSE) / VLOOKUP("transport|SO2|Infant mortality", US_national_yearly!$D:$AM, 10, FALSE), 1)</f>
        <v>8.6062049968707448E-7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3.3704720381045345E-3</v>
      </c>
      <c r="C6" s="7">
        <f>$B6 * IFERROR(VLOOKUP("transport|SO2|Asthma symptoms cough", US_national_yearly!$D:$AM, 11, FALSE) / VLOOKUP("transport|SO2|Asthma symptoms cough", US_national_yearly!$D:$AM, 10, FALSE), 1)</f>
        <v>3.3704720381045345E-3</v>
      </c>
      <c r="D6" s="7">
        <f>$B6 * IFERROR(VLOOKUP("transport|SO2|Asthma symptoms cough", US_national_yearly!$D:$AM, 12, FALSE) / VLOOKUP("transport|SO2|Asthma symptoms cough", US_national_yearly!$D:$AM, 10, FALSE), 1)</f>
        <v>3.3704720381045345E-3</v>
      </c>
      <c r="E6" s="7">
        <f>$B6 * IFERROR(VLOOKUP("transport|SO2|Asthma symptoms cough", US_national_yearly!$D:$AM, 13, FALSE) / VLOOKUP("transport|SO2|Asthma symptoms cough", US_national_yearly!$D:$AM, 10, FALSE), 1)</f>
        <v>3.3704720381045345E-3</v>
      </c>
      <c r="F6" s="7">
        <f>$B6 * IFERROR(VLOOKUP("transport|SO2|Asthma symptoms cough", US_national_yearly!$D:$AM, 14, FALSE) / VLOOKUP("transport|SO2|Asthma symptoms cough", US_national_yearly!$D:$AM, 10, FALSE), 1)</f>
        <v>3.3704720381045345E-3</v>
      </c>
      <c r="G6" s="7">
        <f>$B6 * IFERROR(VLOOKUP("transport|SO2|Asthma symptoms cough", US_national_yearly!$D:$AM, 15, FALSE) / VLOOKUP("transport|SO2|Asthma symptoms cough", US_national_yearly!$D:$AM, 10, FALSE), 1)</f>
        <v>3.3704720381045345E-3</v>
      </c>
      <c r="H6" s="7">
        <f>$B6 * IFERROR(VLOOKUP("transport|SO2|Asthma symptoms cough", US_national_yearly!$D:$AM, 16, FALSE) / VLOOKUP("transport|SO2|Asthma symptoms cough", US_national_yearly!$D:$AM, 10, FALSE), 1)</f>
        <v>3.3704720381045345E-3</v>
      </c>
      <c r="I6" s="7">
        <f>$B6 * IFERROR(VLOOKUP("transport|SO2|Asthma symptoms cough", US_national_yearly!$D:$AM, 17, FALSE) / VLOOKUP("transport|SO2|Asthma symptoms cough", US_national_yearly!$D:$AM, 10, FALSE), 1)</f>
        <v>3.3704720381045345E-3</v>
      </c>
      <c r="J6" s="7">
        <f>$B6 * IFERROR(VLOOKUP("transport|SO2|Asthma symptoms cough", US_national_yearly!$D:$AM, 18, FALSE) / VLOOKUP("transport|SO2|Asthma symptoms cough", US_national_yearly!$D:$AM, 10, FALSE), 1)</f>
        <v>3.3704720381045345E-3</v>
      </c>
      <c r="K6" s="7">
        <f>$B6 * IFERROR(VLOOKUP("transport|SO2|Asthma symptoms cough", US_national_yearly!$D:$AM, 19, FALSE) / VLOOKUP("transport|SO2|Asthma symptoms cough", US_national_yearly!$D:$AM, 10, FALSE), 1)</f>
        <v>3.3704720381045345E-3</v>
      </c>
      <c r="L6" s="7">
        <f>$B6 * IFERROR(VLOOKUP("transport|SO2|Asthma symptoms cough", US_national_yearly!$D:$AM, 20, FALSE) / VLOOKUP("transport|SO2|Asthma symptoms cough", US_national_yearly!$D:$AM, 10, FALSE), 1)</f>
        <v>3.3704720381045345E-3</v>
      </c>
      <c r="M6" s="7">
        <f>$B6 * IFERROR(VLOOKUP("transport|SO2|Asthma symptoms cough", US_national_yearly!$D:$AM, 21, FALSE) / VLOOKUP("transport|SO2|Asthma symptoms cough", US_national_yearly!$D:$AM, 10, FALSE), 1)</f>
        <v>3.3704720381045345E-3</v>
      </c>
      <c r="N6" s="7">
        <f>$B6 * IFERROR(VLOOKUP("transport|SO2|Asthma symptoms cough", US_national_yearly!$D:$AM, 22, FALSE) / VLOOKUP("transport|SO2|Asthma symptoms cough", US_national_yearly!$D:$AM, 10, FALSE), 1)</f>
        <v>3.3704720381045345E-3</v>
      </c>
      <c r="O6" s="7">
        <f>$B6 * IFERROR(VLOOKUP("transport|SO2|Asthma symptoms cough", US_national_yearly!$D:$AM, 23, FALSE) / VLOOKUP("transport|SO2|Asthma symptoms cough", US_national_yearly!$D:$AM, 10, FALSE), 1)</f>
        <v>3.3704720381045345E-3</v>
      </c>
      <c r="P6" s="7">
        <f>$B6 * IFERROR(VLOOKUP("transport|SO2|Asthma symptoms cough", US_national_yearly!$D:$AM, 24, FALSE) / VLOOKUP("transport|SO2|Asthma symptoms cough", US_national_yearly!$D:$AM, 10, FALSE), 1)</f>
        <v>3.3704720381045345E-3</v>
      </c>
      <c r="Q6" s="7">
        <f>$B6 * IFERROR(VLOOKUP("transport|SO2|Asthma symptoms cough", US_national_yearly!$D:$AM, 25, FALSE) / VLOOKUP("transport|SO2|Asthma symptoms cough", US_national_yearly!$D:$AM, 10, FALSE), 1)</f>
        <v>3.3704720381045345E-3</v>
      </c>
      <c r="R6" s="7">
        <f>$B6 * IFERROR(VLOOKUP("transport|SO2|Asthma symptoms cough", US_national_yearly!$D:$AM, 26, FALSE) / VLOOKUP("transport|SO2|Asthma symptoms cough", US_national_yearly!$D:$AM, 10, FALSE), 1)</f>
        <v>3.3704720381045345E-3</v>
      </c>
      <c r="S6" s="7">
        <f>$B6 * IFERROR(VLOOKUP("transport|SO2|Asthma symptoms cough", US_national_yearly!$D:$AM, 27, FALSE) / VLOOKUP("transport|SO2|Asthma symptoms cough", US_national_yearly!$D:$AM, 10, FALSE), 1)</f>
        <v>3.3704720381045345E-3</v>
      </c>
      <c r="T6" s="7">
        <f>$B6 * IFERROR(VLOOKUP("transport|SO2|Asthma symptoms cough", US_national_yearly!$D:$AM, 28, FALSE) / VLOOKUP("transport|SO2|Asthma symptoms cough", US_national_yearly!$D:$AM, 10, FALSE), 1)</f>
        <v>3.3704720381045345E-3</v>
      </c>
      <c r="U6" s="7">
        <f>$B6 * IFERROR(VLOOKUP("transport|SO2|Asthma symptoms cough", US_national_yearly!$D:$AM, 29, FALSE) / VLOOKUP("transport|SO2|Asthma symptoms cough", US_national_yearly!$D:$AM, 10, FALSE), 1)</f>
        <v>3.3704720381045345E-3</v>
      </c>
      <c r="V6" s="7">
        <f>$B6 * IFERROR(VLOOKUP("transport|SO2|Asthma symptoms cough", US_national_yearly!$D:$AM, 30, FALSE) / VLOOKUP("transport|SO2|Asthma symptoms cough", US_national_yearly!$D:$AM, 10, FALSE), 1)</f>
        <v>3.3704720381045345E-3</v>
      </c>
      <c r="W6" s="7">
        <f>$B6 * IFERROR(VLOOKUP("transport|SO2|Asthma symptoms cough", US_national_yearly!$D:$AM, 31, FALSE) / VLOOKUP("transport|SO2|Asthma symptoms cough", US_national_yearly!$D:$AM, 10, FALSE), 1)</f>
        <v>3.3704720381045345E-3</v>
      </c>
      <c r="X6" s="7">
        <f>$B6 * IFERROR(VLOOKUP("transport|SO2|Asthma symptoms cough", US_national_yearly!$D:$AM, 32, FALSE) / VLOOKUP("transport|SO2|Asthma symptoms cough", US_national_yearly!$D:$AM, 10, FALSE), 1)</f>
        <v>3.3704720381045345E-3</v>
      </c>
      <c r="Y6" s="7">
        <f>$B6 * IFERROR(VLOOKUP("transport|SO2|Asthma symptoms cough", US_national_yearly!$D:$AM, 33, FALSE) / VLOOKUP("transport|SO2|Asthma symptoms cough", US_national_yearly!$D:$AM, 10, FALSE), 1)</f>
        <v>3.3704720381045345E-3</v>
      </c>
      <c r="Z6" s="7">
        <f>$B6 * IFERROR(VLOOKUP("transport|SO2|Asthma symptoms cough", US_national_yearly!$D:$AM, 34, FALSE) / VLOOKUP("transport|SO2|Asthma symptoms cough", US_national_yearly!$D:$AM, 10, FALSE), 1)</f>
        <v>3.3704720381045345E-3</v>
      </c>
      <c r="AA6" s="7">
        <f>$B6 * IFERROR(VLOOKUP("transport|SO2|Asthma symptoms cough", US_national_yearly!$D:$AM, 35, FALSE) / VLOOKUP("transport|SO2|Asthma symptoms cough", US_national_yearly!$D:$AM, 10, FALSE), 1)</f>
        <v>3.3704720381045345E-3</v>
      </c>
      <c r="AB6" s="7">
        <f>$B6 * IFERROR(VLOOKUP("transport|SO2|Asthma symptoms cough", US_national_yearly!$D:$AM, 36, FALSE) / VLOOKUP("transport|SO2|Asthma symptoms cough", US_national_yearly!$D:$AM, 10, FALSE), 1)</f>
        <v>3.3704720381045345E-3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4.5388334153026386E-3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4.5388334153026386E-3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4.5388334153026386E-3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4.5388334153026386E-3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4.5388334153026386E-3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4.5388334153026386E-3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4.5388334153026386E-3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4.5388334153026386E-3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4.5388334153026386E-3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4.5388334153026386E-3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4.5388334153026386E-3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4.5388334153026386E-3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4.5388334153026386E-3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4.5388334153026386E-3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4.5388334153026386E-3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4.5388334153026386E-3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4.5388334153026386E-3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4.5388334153026386E-3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4.5388334153026386E-3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4.5388334153026386E-3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4.5388334153026386E-3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4.5388334153026386E-3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4.5388334153026386E-3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4.5388334153026386E-3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4.5388334153026386E-3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4.5388334153026386E-3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4.5388334153026386E-3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6.93455487807628E-3</v>
      </c>
      <c r="C8" s="7">
        <f>$B8 * IFERROR(VLOOKUP("transport|SO2|Asthma symptoms wheeze", US_national_yearly!$D:$AM, 11, FALSE) / VLOOKUP("transport|SO2|Asthma symptoms wheeze", US_national_yearly!$D:$AM, 10, FALSE), 1)</f>
        <v>6.93455487807628E-3</v>
      </c>
      <c r="D8" s="7">
        <f>$B8 * IFERROR(VLOOKUP("transport|SO2|Asthma symptoms wheeze", US_national_yearly!$D:$AM, 12, FALSE) / VLOOKUP("transport|SO2|Asthma symptoms wheeze", US_national_yearly!$D:$AM, 10, FALSE), 1)</f>
        <v>6.93455487807628E-3</v>
      </c>
      <c r="E8" s="7">
        <f>$B8 * IFERROR(VLOOKUP("transport|SO2|Asthma symptoms wheeze", US_national_yearly!$D:$AM, 13, FALSE) / VLOOKUP("transport|SO2|Asthma symptoms wheeze", US_national_yearly!$D:$AM, 10, FALSE), 1)</f>
        <v>6.93455487807628E-3</v>
      </c>
      <c r="F8" s="7">
        <f>$B8 * IFERROR(VLOOKUP("transport|SO2|Asthma symptoms wheeze", US_national_yearly!$D:$AM, 14, FALSE) / VLOOKUP("transport|SO2|Asthma symptoms wheeze", US_national_yearly!$D:$AM, 10, FALSE), 1)</f>
        <v>6.93455487807628E-3</v>
      </c>
      <c r="G8" s="7">
        <f>$B8 * IFERROR(VLOOKUP("transport|SO2|Asthma symptoms wheeze", US_national_yearly!$D:$AM, 15, FALSE) / VLOOKUP("transport|SO2|Asthma symptoms wheeze", US_national_yearly!$D:$AM, 10, FALSE), 1)</f>
        <v>6.93455487807628E-3</v>
      </c>
      <c r="H8" s="7">
        <f>$B8 * IFERROR(VLOOKUP("transport|SO2|Asthma symptoms wheeze", US_national_yearly!$D:$AM, 16, FALSE) / VLOOKUP("transport|SO2|Asthma symptoms wheeze", US_national_yearly!$D:$AM, 10, FALSE), 1)</f>
        <v>6.93455487807628E-3</v>
      </c>
      <c r="I8" s="7">
        <f>$B8 * IFERROR(VLOOKUP("transport|SO2|Asthma symptoms wheeze", US_national_yearly!$D:$AM, 17, FALSE) / VLOOKUP("transport|SO2|Asthma symptoms wheeze", US_national_yearly!$D:$AM, 10, FALSE), 1)</f>
        <v>6.93455487807628E-3</v>
      </c>
      <c r="J8" s="7">
        <f>$B8 * IFERROR(VLOOKUP("transport|SO2|Asthma symptoms wheeze", US_national_yearly!$D:$AM, 18, FALSE) / VLOOKUP("transport|SO2|Asthma symptoms wheeze", US_national_yearly!$D:$AM, 10, FALSE), 1)</f>
        <v>6.93455487807628E-3</v>
      </c>
      <c r="K8" s="7">
        <f>$B8 * IFERROR(VLOOKUP("transport|SO2|Asthma symptoms wheeze", US_national_yearly!$D:$AM, 19, FALSE) / VLOOKUP("transport|SO2|Asthma symptoms wheeze", US_national_yearly!$D:$AM, 10, FALSE), 1)</f>
        <v>6.93455487807628E-3</v>
      </c>
      <c r="L8" s="7">
        <f>$B8 * IFERROR(VLOOKUP("transport|SO2|Asthma symptoms wheeze", US_national_yearly!$D:$AM, 20, FALSE) / VLOOKUP("transport|SO2|Asthma symptoms wheeze", US_national_yearly!$D:$AM, 10, FALSE), 1)</f>
        <v>6.93455487807628E-3</v>
      </c>
      <c r="M8" s="7">
        <f>$B8 * IFERROR(VLOOKUP("transport|SO2|Asthma symptoms wheeze", US_national_yearly!$D:$AM, 21, FALSE) / VLOOKUP("transport|SO2|Asthma symptoms wheeze", US_national_yearly!$D:$AM, 10, FALSE), 1)</f>
        <v>6.93455487807628E-3</v>
      </c>
      <c r="N8" s="7">
        <f>$B8 * IFERROR(VLOOKUP("transport|SO2|Asthma symptoms wheeze", US_national_yearly!$D:$AM, 22, FALSE) / VLOOKUP("transport|SO2|Asthma symptoms wheeze", US_national_yearly!$D:$AM, 10, FALSE), 1)</f>
        <v>6.93455487807628E-3</v>
      </c>
      <c r="O8" s="7">
        <f>$B8 * IFERROR(VLOOKUP("transport|SO2|Asthma symptoms wheeze", US_national_yearly!$D:$AM, 23, FALSE) / VLOOKUP("transport|SO2|Asthma symptoms wheeze", US_national_yearly!$D:$AM, 10, FALSE), 1)</f>
        <v>6.93455487807628E-3</v>
      </c>
      <c r="P8" s="7">
        <f>$B8 * IFERROR(VLOOKUP("transport|SO2|Asthma symptoms wheeze", US_national_yearly!$D:$AM, 24, FALSE) / VLOOKUP("transport|SO2|Asthma symptoms wheeze", US_national_yearly!$D:$AM, 10, FALSE), 1)</f>
        <v>6.93455487807628E-3</v>
      </c>
      <c r="Q8" s="7">
        <f>$B8 * IFERROR(VLOOKUP("transport|SO2|Asthma symptoms wheeze", US_national_yearly!$D:$AM, 25, FALSE) / VLOOKUP("transport|SO2|Asthma symptoms wheeze", US_national_yearly!$D:$AM, 10, FALSE), 1)</f>
        <v>6.93455487807628E-3</v>
      </c>
      <c r="R8" s="7">
        <f>$B8 * IFERROR(VLOOKUP("transport|SO2|Asthma symptoms wheeze", US_national_yearly!$D:$AM, 26, FALSE) / VLOOKUP("transport|SO2|Asthma symptoms wheeze", US_national_yearly!$D:$AM, 10, FALSE), 1)</f>
        <v>6.93455487807628E-3</v>
      </c>
      <c r="S8" s="7">
        <f>$B8 * IFERROR(VLOOKUP("transport|SO2|Asthma symptoms wheeze", US_national_yearly!$D:$AM, 27, FALSE) / VLOOKUP("transport|SO2|Asthma symptoms wheeze", US_national_yearly!$D:$AM, 10, FALSE), 1)</f>
        <v>6.93455487807628E-3</v>
      </c>
      <c r="T8" s="7">
        <f>$B8 * IFERROR(VLOOKUP("transport|SO2|Asthma symptoms wheeze", US_national_yearly!$D:$AM, 28, FALSE) / VLOOKUP("transport|SO2|Asthma symptoms wheeze", US_national_yearly!$D:$AM, 10, FALSE), 1)</f>
        <v>6.93455487807628E-3</v>
      </c>
      <c r="U8" s="7">
        <f>$B8 * IFERROR(VLOOKUP("transport|SO2|Asthma symptoms wheeze", US_national_yearly!$D:$AM, 29, FALSE) / VLOOKUP("transport|SO2|Asthma symptoms wheeze", US_national_yearly!$D:$AM, 10, FALSE), 1)</f>
        <v>6.93455487807628E-3</v>
      </c>
      <c r="V8" s="7">
        <f>$B8 * IFERROR(VLOOKUP("transport|SO2|Asthma symptoms wheeze", US_national_yearly!$D:$AM, 30, FALSE) / VLOOKUP("transport|SO2|Asthma symptoms wheeze", US_national_yearly!$D:$AM, 10, FALSE), 1)</f>
        <v>6.93455487807628E-3</v>
      </c>
      <c r="W8" s="7">
        <f>$B8 * IFERROR(VLOOKUP("transport|SO2|Asthma symptoms wheeze", US_national_yearly!$D:$AM, 31, FALSE) / VLOOKUP("transport|SO2|Asthma symptoms wheeze", US_national_yearly!$D:$AM, 10, FALSE), 1)</f>
        <v>6.93455487807628E-3</v>
      </c>
      <c r="X8" s="7">
        <f>$B8 * IFERROR(VLOOKUP("transport|SO2|Asthma symptoms wheeze", US_national_yearly!$D:$AM, 32, FALSE) / VLOOKUP("transport|SO2|Asthma symptoms wheeze", US_national_yearly!$D:$AM, 10, FALSE), 1)</f>
        <v>6.93455487807628E-3</v>
      </c>
      <c r="Y8" s="7">
        <f>$B8 * IFERROR(VLOOKUP("transport|SO2|Asthma symptoms wheeze", US_national_yearly!$D:$AM, 33, FALSE) / VLOOKUP("transport|SO2|Asthma symptoms wheeze", US_national_yearly!$D:$AM, 10, FALSE), 1)</f>
        <v>6.93455487807628E-3</v>
      </c>
      <c r="Z8" s="7">
        <f>$B8 * IFERROR(VLOOKUP("transport|SO2|Asthma symptoms wheeze", US_national_yearly!$D:$AM, 34, FALSE) / VLOOKUP("transport|SO2|Asthma symptoms wheeze", US_national_yearly!$D:$AM, 10, FALSE), 1)</f>
        <v>6.93455487807628E-3</v>
      </c>
      <c r="AA8" s="7">
        <f>$B8 * IFERROR(VLOOKUP("transport|SO2|Asthma symptoms wheeze", US_national_yearly!$D:$AM, 35, FALSE) / VLOOKUP("transport|SO2|Asthma symptoms wheeze", US_national_yearly!$D:$AM, 10, FALSE), 1)</f>
        <v>6.93455487807628E-3</v>
      </c>
      <c r="AB8" s="7">
        <f>$B8 * IFERROR(VLOOKUP("transport|SO2|Asthma symptoms wheeze", US_national_yearly!$D:$AM, 36, FALSE) / VLOOKUP("transport|SO2|Asthma symptoms wheeze", US_national_yearly!$D:$AM, 10, FALSE), 1)</f>
        <v>6.93455487807628E-3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1.0369653317703021E-4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1.0430814048289713E-4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1.0491974778876405E-4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1.0553135509463096E-4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1.0614296240049788E-4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1.0680971752430549E-4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1.074764726481131E-4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1.0813397258680645E-4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1.0879147252549984E-4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1.0944897246419318E-4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1.1010647240288656E-4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1.107639723415799E-4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1.1124392700072499E-4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1.1172388165987006E-4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1.1220383631901512E-4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1.1268379097816021E-4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1.1316374563730528E-4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1.1362158576055581E-4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1.1407942588380632E-4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1.1453726600705685E-4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1.1499510613030739E-4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1.1545294625355792E-4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1.158873613621074E-4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1.163217764706569E-4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1.1675619157920639E-4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1.1719060668775587E-4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1.1762502179630539E-4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4.9690123615715937E-4</v>
      </c>
      <c r="C13" s="7">
        <f>$B13 * IFERROR(VLOOKUP("transport|SO2|Non-fatal heart attacks", US_national_yearly!$D:$AM, 11, FALSE) / VLOOKUP("transport|SO2|Non-fatal heart attacks", US_national_yearly!$D:$AM, 10, FALSE), 1)</f>
        <v>5.1148845160648283E-4</v>
      </c>
      <c r="D13" s="7">
        <f>$B13 * IFERROR(VLOOKUP("transport|SO2|Non-fatal heart attacks", US_national_yearly!$D:$AM, 12, FALSE) / VLOOKUP("transport|SO2|Non-fatal heart attacks", US_national_yearly!$D:$AM, 10, FALSE), 1)</f>
        <v>5.260756670558063E-4</v>
      </c>
      <c r="E13" s="7">
        <f>$B13 * IFERROR(VLOOKUP("transport|SO2|Non-fatal heart attacks", US_national_yearly!$D:$AM, 13, FALSE) / VLOOKUP("transport|SO2|Non-fatal heart attacks", US_national_yearly!$D:$AM, 10, FALSE), 1)</f>
        <v>5.4066288250512976E-4</v>
      </c>
      <c r="F13" s="7">
        <f>$B13 * IFERROR(VLOOKUP("transport|SO2|Non-fatal heart attacks", US_national_yearly!$D:$AM, 14, FALSE) / VLOOKUP("transport|SO2|Non-fatal heart attacks", US_national_yearly!$D:$AM, 10, FALSE), 1)</f>
        <v>5.5525009795445311E-4</v>
      </c>
      <c r="G13" s="7">
        <f>$B13 * IFERROR(VLOOKUP("transport|SO2|Non-fatal heart attacks", US_national_yearly!$D:$AM, 15, FALSE) / VLOOKUP("transport|SO2|Non-fatal heart attacks", US_national_yearly!$D:$AM, 10, FALSE), 1)</f>
        <v>5.6900719517005553E-4</v>
      </c>
      <c r="H13" s="7">
        <f>$B13 * IFERROR(VLOOKUP("transport|SO2|Non-fatal heart attacks", US_national_yearly!$D:$AM, 16, FALSE) / VLOOKUP("transport|SO2|Non-fatal heart attacks", US_national_yearly!$D:$AM, 10, FALSE), 1)</f>
        <v>5.8276429238565794E-4</v>
      </c>
      <c r="I13" s="7">
        <f>$B13 * IFERROR(VLOOKUP("transport|SO2|Non-fatal heart attacks", US_national_yearly!$D:$AM, 17, FALSE) / VLOOKUP("transport|SO2|Non-fatal heart attacks", US_national_yearly!$D:$AM, 10, FALSE), 1)</f>
        <v>5.9383444299369675E-4</v>
      </c>
      <c r="J13" s="7">
        <f>$B13 * IFERROR(VLOOKUP("transport|SO2|Non-fatal heart attacks", US_national_yearly!$D:$AM, 18, FALSE) / VLOOKUP("transport|SO2|Non-fatal heart attacks", US_national_yearly!$D:$AM, 10, FALSE), 1)</f>
        <v>6.0490459360173555E-4</v>
      </c>
      <c r="K13" s="7">
        <f>$B13 * IFERROR(VLOOKUP("transport|SO2|Non-fatal heart attacks", US_national_yearly!$D:$AM, 19, FALSE) / VLOOKUP("transport|SO2|Non-fatal heart attacks", US_national_yearly!$D:$AM, 10, FALSE), 1)</f>
        <v>6.1597474420977435E-4</v>
      </c>
      <c r="L13" s="7">
        <f>$B13 * IFERROR(VLOOKUP("transport|SO2|Non-fatal heart attacks", US_national_yearly!$D:$AM, 20, FALSE) / VLOOKUP("transport|SO2|Non-fatal heart attacks", US_national_yearly!$D:$AM, 10, FALSE), 1)</f>
        <v>6.2704489481781337E-4</v>
      </c>
      <c r="M13" s="7">
        <f>$B13 * IFERROR(VLOOKUP("transport|SO2|Non-fatal heart attacks", US_national_yearly!$D:$AM, 21, FALSE) / VLOOKUP("transport|SO2|Non-fatal heart attacks", US_national_yearly!$D:$AM, 10, FALSE), 1)</f>
        <v>6.3811504542585229E-4</v>
      </c>
      <c r="N13" s="7">
        <f>$B13 * IFERROR(VLOOKUP("transport|SO2|Non-fatal heart attacks", US_national_yearly!$D:$AM, 22, FALSE) / VLOOKUP("transport|SO2|Non-fatal heart attacks", US_national_yearly!$D:$AM, 10, FALSE), 1)</f>
        <v>6.4530302796081569E-4</v>
      </c>
      <c r="O13" s="7">
        <f>$B13 * IFERROR(VLOOKUP("transport|SO2|Non-fatal heart attacks", US_national_yearly!$D:$AM, 23, FALSE) / VLOOKUP("transport|SO2|Non-fatal heart attacks", US_national_yearly!$D:$AM, 10, FALSE), 1)</f>
        <v>6.5249101049577943E-4</v>
      </c>
      <c r="P13" s="7">
        <f>$B13 * IFERROR(VLOOKUP("transport|SO2|Non-fatal heart attacks", US_national_yearly!$D:$AM, 24, FALSE) / VLOOKUP("transport|SO2|Non-fatal heart attacks", US_national_yearly!$D:$AM, 10, FALSE), 1)</f>
        <v>6.5967899303074316E-4</v>
      </c>
      <c r="Q13" s="7">
        <f>$B13 * IFERROR(VLOOKUP("transport|SO2|Non-fatal heart attacks", US_national_yearly!$D:$AM, 25, FALSE) / VLOOKUP("transport|SO2|Non-fatal heart attacks", US_national_yearly!$D:$AM, 10, FALSE), 1)</f>
        <v>6.6686697556570679E-4</v>
      </c>
      <c r="R13" s="7">
        <f>$B13 * IFERROR(VLOOKUP("transport|SO2|Non-fatal heart attacks", US_national_yearly!$D:$AM, 26, FALSE) / VLOOKUP("transport|SO2|Non-fatal heart attacks", US_national_yearly!$D:$AM, 10, FALSE), 1)</f>
        <v>6.7405495810067041E-4</v>
      </c>
      <c r="S13" s="7">
        <f>$B13 * IFERROR(VLOOKUP("transport|SO2|Non-fatal heart attacks", US_national_yearly!$D:$AM, 27, FALSE) / VLOOKUP("transport|SO2|Non-fatal heart attacks", US_national_yearly!$D:$AM, 10, FALSE), 1)</f>
        <v>6.7780776335128951E-4</v>
      </c>
      <c r="T13" s="7">
        <f>$B13 * IFERROR(VLOOKUP("transport|SO2|Non-fatal heart attacks", US_national_yearly!$D:$AM, 28, FALSE) / VLOOKUP("transport|SO2|Non-fatal heart attacks", US_national_yearly!$D:$AM, 10, FALSE), 1)</f>
        <v>6.8156056860190861E-4</v>
      </c>
      <c r="U13" s="7">
        <f>$B13 * IFERROR(VLOOKUP("transport|SO2|Non-fatal heart attacks", US_national_yearly!$D:$AM, 29, FALSE) / VLOOKUP("transport|SO2|Non-fatal heart attacks", US_national_yearly!$D:$AM, 10, FALSE), 1)</f>
        <v>6.8531337385252761E-4</v>
      </c>
      <c r="V13" s="7">
        <f>$B13 * IFERROR(VLOOKUP("transport|SO2|Non-fatal heart attacks", US_national_yearly!$D:$AM, 30, FALSE) / VLOOKUP("transport|SO2|Non-fatal heart attacks", US_national_yearly!$D:$AM, 10, FALSE), 1)</f>
        <v>6.890661791031466E-4</v>
      </c>
      <c r="W13" s="7">
        <f>$B13 * IFERROR(VLOOKUP("transport|SO2|Non-fatal heart attacks", US_national_yearly!$D:$AM, 31, FALSE) / VLOOKUP("transport|SO2|Non-fatal heart attacks", US_national_yearly!$D:$AM, 10, FALSE), 1)</f>
        <v>6.9281898435376581E-4</v>
      </c>
      <c r="X13" s="7">
        <f>$B13 * IFERROR(VLOOKUP("transport|SO2|Non-fatal heart attacks", US_national_yearly!$D:$AM, 32, FALSE) / VLOOKUP("transport|SO2|Non-fatal heart attacks", US_national_yearly!$D:$AM, 10, FALSE), 1)</f>
        <v>6.9565202404565528E-4</v>
      </c>
      <c r="Y13" s="7">
        <f>$B13 * IFERROR(VLOOKUP("transport|SO2|Non-fatal heart attacks", US_national_yearly!$D:$AM, 33, FALSE) / VLOOKUP("transport|SO2|Non-fatal heart attacks", US_national_yearly!$D:$AM, 10, FALSE), 1)</f>
        <v>6.9848506373754464E-4</v>
      </c>
      <c r="Z13" s="7">
        <f>$B13 * IFERROR(VLOOKUP("transport|SO2|Non-fatal heart attacks", US_national_yearly!$D:$AM, 34, FALSE) / VLOOKUP("transport|SO2|Non-fatal heart attacks", US_national_yearly!$D:$AM, 10, FALSE), 1)</f>
        <v>7.01318103429434E-4</v>
      </c>
      <c r="AA13" s="7">
        <f>$B13 * IFERROR(VLOOKUP("transport|SO2|Non-fatal heart attacks", US_national_yearly!$D:$AM, 35, FALSE) / VLOOKUP("transport|SO2|Non-fatal heart attacks", US_national_yearly!$D:$AM, 10, FALSE), 1)</f>
        <v>7.0415114312132336E-4</v>
      </c>
      <c r="AB13" s="7">
        <f>$B13 * IFERROR(VLOOKUP("transport|SO2|Non-fatal heart attacks", US_national_yearly!$D:$AM, 36, FALSE) / VLOOKUP("transport|SO2|Non-fatal heart attacks", US_national_yearly!$D:$AM, 10, FALSE), 1)</f>
        <v>7.0698418281321272E-4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0.46803042944897111</v>
      </c>
      <c r="C14" s="7">
        <f>$B14 * IFERROR(VLOOKUP("transport|SO2|Minor restricted activity days", US_national_yearly!$D:$AM, 11, FALSE) / VLOOKUP("transport|SO2|Minor restricted activity days", US_national_yearly!$D:$AM, 10, FALSE), 1)</f>
        <v>0.46921017821746624</v>
      </c>
      <c r="D14" s="7">
        <f>$B14 * IFERROR(VLOOKUP("transport|SO2|Minor restricted activity days", US_national_yearly!$D:$AM, 12, FALSE) / VLOOKUP("transport|SO2|Minor restricted activity days", US_national_yearly!$D:$AM, 10, FALSE), 1)</f>
        <v>0.47038992698596122</v>
      </c>
      <c r="E14" s="7">
        <f>$B14 * IFERROR(VLOOKUP("transport|SO2|Minor restricted activity days", US_national_yearly!$D:$AM, 13, FALSE) / VLOOKUP("transport|SO2|Minor restricted activity days", US_national_yearly!$D:$AM, 10, FALSE), 1)</f>
        <v>0.47156967575445635</v>
      </c>
      <c r="F14" s="7">
        <f>$B14 * IFERROR(VLOOKUP("transport|SO2|Minor restricted activity days", US_national_yearly!$D:$AM, 14, FALSE) / VLOOKUP("transport|SO2|Minor restricted activity days", US_national_yearly!$D:$AM, 10, FALSE), 1)</f>
        <v>0.47274942452295132</v>
      </c>
      <c r="G14" s="7">
        <f>$B14 * IFERROR(VLOOKUP("transport|SO2|Minor restricted activity days", US_national_yearly!$D:$AM, 15, FALSE) / VLOOKUP("transport|SO2|Minor restricted activity days", US_national_yearly!$D:$AM, 10, FALSE), 1)</f>
        <v>0.47448589881100989</v>
      </c>
      <c r="H14" s="7">
        <f>$B14 * IFERROR(VLOOKUP("transport|SO2|Minor restricted activity days", US_national_yearly!$D:$AM, 16, FALSE) / VLOOKUP("transport|SO2|Minor restricted activity days", US_national_yearly!$D:$AM, 10, FALSE), 1)</f>
        <v>0.47622237309906845</v>
      </c>
      <c r="I14" s="7">
        <f>$B14 * IFERROR(VLOOKUP("transport|SO2|Minor restricted activity days", US_national_yearly!$D:$AM, 17, FALSE) / VLOOKUP("transport|SO2|Minor restricted activity days", US_national_yearly!$D:$AM, 10, FALSE), 1)</f>
        <v>0.47918376813898478</v>
      </c>
      <c r="J14" s="7">
        <f>$B14 * IFERROR(VLOOKUP("transport|SO2|Minor restricted activity days", US_national_yearly!$D:$AM, 18, FALSE) / VLOOKUP("transport|SO2|Minor restricted activity days", US_national_yearly!$D:$AM, 10, FALSE), 1)</f>
        <v>0.48214516317890116</v>
      </c>
      <c r="K14" s="7">
        <f>$B14 * IFERROR(VLOOKUP("transport|SO2|Minor restricted activity days", US_national_yearly!$D:$AM, 19, FALSE) / VLOOKUP("transport|SO2|Minor restricted activity days", US_national_yearly!$D:$AM, 10, FALSE), 1)</f>
        <v>0.4851065582188176</v>
      </c>
      <c r="L14" s="7">
        <f>$B14 * IFERROR(VLOOKUP("transport|SO2|Minor restricted activity days", US_national_yearly!$D:$AM, 20, FALSE) / VLOOKUP("transport|SO2|Minor restricted activity days", US_national_yearly!$D:$AM, 10, FALSE), 1)</f>
        <v>0.48806795325873392</v>
      </c>
      <c r="M14" s="7">
        <f>$B14 * IFERROR(VLOOKUP("transport|SO2|Minor restricted activity days", US_national_yearly!$D:$AM, 21, FALSE) / VLOOKUP("transport|SO2|Minor restricted activity days", US_national_yearly!$D:$AM, 10, FALSE), 1)</f>
        <v>0.49102934829865025</v>
      </c>
      <c r="N14" s="7">
        <f>$B14 * IFERROR(VLOOKUP("transport|SO2|Minor restricted activity days", US_national_yearly!$D:$AM, 22, FALSE) / VLOOKUP("transport|SO2|Minor restricted activity days", US_national_yearly!$D:$AM, 10, FALSE), 1)</f>
        <v>0.49508006153083306</v>
      </c>
      <c r="O14" s="7">
        <f>$B14 * IFERROR(VLOOKUP("transport|SO2|Minor restricted activity days", US_national_yearly!$D:$AM, 23, FALSE) / VLOOKUP("transport|SO2|Minor restricted activity days", US_national_yearly!$D:$AM, 10, FALSE), 1)</f>
        <v>0.49913077476301587</v>
      </c>
      <c r="P14" s="7">
        <f>$B14 * IFERROR(VLOOKUP("transport|SO2|Minor restricted activity days", US_national_yearly!$D:$AM, 24, FALSE) / VLOOKUP("transport|SO2|Minor restricted activity days", US_national_yearly!$D:$AM, 10, FALSE), 1)</f>
        <v>0.50318148799519868</v>
      </c>
      <c r="Q14" s="7">
        <f>$B14 * IFERROR(VLOOKUP("transport|SO2|Minor restricted activity days", US_national_yearly!$D:$AM, 25, FALSE) / VLOOKUP("transport|SO2|Minor restricted activity days", US_national_yearly!$D:$AM, 10, FALSE), 1)</f>
        <v>0.50723220122738155</v>
      </c>
      <c r="R14" s="7">
        <f>$B14 * IFERROR(VLOOKUP("transport|SO2|Minor restricted activity days", US_national_yearly!$D:$AM, 26, FALSE) / VLOOKUP("transport|SO2|Minor restricted activity days", US_national_yearly!$D:$AM, 10, FALSE), 1)</f>
        <v>0.51128291445956431</v>
      </c>
      <c r="S14" s="7">
        <f>$B14 * IFERROR(VLOOKUP("transport|SO2|Minor restricted activity days", US_national_yearly!$D:$AM, 27, FALSE) / VLOOKUP("transport|SO2|Minor restricted activity days", US_national_yearly!$D:$AM, 10, FALSE), 1)</f>
        <v>0.51541301305897735</v>
      </c>
      <c r="T14" s="7">
        <f>$B14 * IFERROR(VLOOKUP("transport|SO2|Minor restricted activity days", US_national_yearly!$D:$AM, 28, FALSE) / VLOOKUP("transport|SO2|Minor restricted activity days", US_national_yearly!$D:$AM, 10, FALSE), 1)</f>
        <v>0.51954311165839029</v>
      </c>
      <c r="U14" s="7">
        <f>$B14 * IFERROR(VLOOKUP("transport|SO2|Minor restricted activity days", US_national_yearly!$D:$AM, 29, FALSE) / VLOOKUP("transport|SO2|Minor restricted activity days", US_national_yearly!$D:$AM, 10, FALSE), 1)</f>
        <v>0.52367321025780333</v>
      </c>
      <c r="V14" s="7">
        <f>$B14 * IFERROR(VLOOKUP("transport|SO2|Minor restricted activity days", US_national_yearly!$D:$AM, 30, FALSE) / VLOOKUP("transport|SO2|Minor restricted activity days", US_national_yearly!$D:$AM, 10, FALSE), 1)</f>
        <v>0.52780330885721627</v>
      </c>
      <c r="W14" s="7">
        <f>$B14 * IFERROR(VLOOKUP("transport|SO2|Minor restricted activity days", US_national_yearly!$D:$AM, 31, FALSE) / VLOOKUP("transport|SO2|Minor restricted activity days", US_national_yearly!$D:$AM, 10, FALSE), 1)</f>
        <v>0.53193340745662931</v>
      </c>
      <c r="X14" s="7">
        <f>$B14 * IFERROR(VLOOKUP("transport|SO2|Minor restricted activity days", US_national_yearly!$D:$AM, 32, FALSE) / VLOOKUP("transport|SO2|Minor restricted activity days", US_national_yearly!$D:$AM, 10, FALSE), 1)</f>
        <v>0.53556550005214398</v>
      </c>
      <c r="Y14" s="7">
        <f>$B14 * IFERROR(VLOOKUP("transport|SO2|Minor restricted activity days", US_national_yearly!$D:$AM, 33, FALSE) / VLOOKUP("transport|SO2|Minor restricted activity days", US_national_yearly!$D:$AM, 10, FALSE), 1)</f>
        <v>0.53919759264765876</v>
      </c>
      <c r="Z14" s="7">
        <f>$B14 * IFERROR(VLOOKUP("transport|SO2|Minor restricted activity days", US_national_yearly!$D:$AM, 34, FALSE) / VLOOKUP("transport|SO2|Minor restricted activity days", US_national_yearly!$D:$AM, 10, FALSE), 1)</f>
        <v>0.54282968524317343</v>
      </c>
      <c r="AA14" s="7">
        <f>$B14 * IFERROR(VLOOKUP("transport|SO2|Minor restricted activity days", US_national_yearly!$D:$AM, 35, FALSE) / VLOOKUP("transport|SO2|Minor restricted activity days", US_national_yearly!$D:$AM, 10, FALSE), 1)</f>
        <v>0.5464617778386881</v>
      </c>
      <c r="AB14" s="7">
        <f>$B14 * IFERROR(VLOOKUP("transport|SO2|Minor restricted activity days", US_national_yearly!$D:$AM, 36, FALSE) / VLOOKUP("transport|SO2|Minor restricted activity days", US_national_yearly!$D:$AM, 10, FALSE), 1)</f>
        <v>0.55009387043420288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7.9680894577567385E-2</v>
      </c>
      <c r="C15" s="7">
        <f>$B15 * IFERROR(VLOOKUP("transport|SO2|Work loss days", US_national_yearly!$D:$AM, 11, FALSE) / VLOOKUP("transport|SO2|Work loss days", US_national_yearly!$D:$AM, 10, FALSE), 1)</f>
        <v>7.9939048011840708E-2</v>
      </c>
      <c r="D15" s="7">
        <f>$B15 * IFERROR(VLOOKUP("transport|SO2|Work loss days", US_national_yearly!$D:$AM, 12, FALSE) / VLOOKUP("transport|SO2|Work loss days", US_national_yearly!$D:$AM, 10, FALSE), 1)</f>
        <v>8.0197201446114044E-2</v>
      </c>
      <c r="E15" s="7">
        <f>$B15 * IFERROR(VLOOKUP("transport|SO2|Work loss days", US_national_yearly!$D:$AM, 13, FALSE) / VLOOKUP("transport|SO2|Work loss days", US_national_yearly!$D:$AM, 10, FALSE), 1)</f>
        <v>8.0455354880387367E-2</v>
      </c>
      <c r="F15" s="7">
        <f>$B15 * IFERROR(VLOOKUP("transport|SO2|Work loss days", US_national_yearly!$D:$AM, 14, FALSE) / VLOOKUP("transport|SO2|Work loss days", US_national_yearly!$D:$AM, 10, FALSE), 1)</f>
        <v>8.0713508314660704E-2</v>
      </c>
      <c r="G15" s="7">
        <f>$B15 * IFERROR(VLOOKUP("transport|SO2|Work loss days", US_national_yearly!$D:$AM, 15, FALSE) / VLOOKUP("transport|SO2|Work loss days", US_national_yearly!$D:$AM, 10, FALSE), 1)</f>
        <v>8.1050817363630401E-2</v>
      </c>
      <c r="H15" s="7">
        <f>$B15 * IFERROR(VLOOKUP("transport|SO2|Work loss days", US_national_yearly!$D:$AM, 16, FALSE) / VLOOKUP("transport|SO2|Work loss days", US_national_yearly!$D:$AM, 10, FALSE), 1)</f>
        <v>8.1388126412600084E-2</v>
      </c>
      <c r="I15" s="7">
        <f>$B15 * IFERROR(VLOOKUP("transport|SO2|Work loss days", US_national_yearly!$D:$AM, 17, FALSE) / VLOOKUP("transport|SO2|Work loss days", US_national_yearly!$D:$AM, 10, FALSE), 1)</f>
        <v>8.1881564270769647E-2</v>
      </c>
      <c r="J15" s="7">
        <f>$B15 * IFERROR(VLOOKUP("transport|SO2|Work loss days", US_national_yearly!$D:$AM, 18, FALSE) / VLOOKUP("transport|SO2|Work loss days", US_national_yearly!$D:$AM, 10, FALSE), 1)</f>
        <v>8.2375002128939195E-2</v>
      </c>
      <c r="K15" s="7">
        <f>$B15 * IFERROR(VLOOKUP("transport|SO2|Work loss days", US_national_yearly!$D:$AM, 19, FALSE) / VLOOKUP("transport|SO2|Work loss days", US_national_yearly!$D:$AM, 10, FALSE), 1)</f>
        <v>8.2868439987108772E-2</v>
      </c>
      <c r="L15" s="7">
        <f>$B15 * IFERROR(VLOOKUP("transport|SO2|Work loss days", US_national_yearly!$D:$AM, 20, FALSE) / VLOOKUP("transport|SO2|Work loss days", US_national_yearly!$D:$AM, 10, FALSE), 1)</f>
        <v>8.3361877845278348E-2</v>
      </c>
      <c r="M15" s="7">
        <f>$B15 * IFERROR(VLOOKUP("transport|SO2|Work loss days", US_national_yearly!$D:$AM, 21, FALSE) / VLOOKUP("transport|SO2|Work loss days", US_national_yearly!$D:$AM, 10, FALSE), 1)</f>
        <v>8.3855315703447911E-2</v>
      </c>
      <c r="N15" s="7">
        <f>$B15 * IFERROR(VLOOKUP("transport|SO2|Work loss days", US_national_yearly!$D:$AM, 22, FALSE) / VLOOKUP("transport|SO2|Work loss days", US_national_yearly!$D:$AM, 10, FALSE), 1)</f>
        <v>8.4474006815702357E-2</v>
      </c>
      <c r="O15" s="7">
        <f>$B15 * IFERROR(VLOOKUP("transport|SO2|Work loss days", US_national_yearly!$D:$AM, 23, FALSE) / VLOOKUP("transport|SO2|Work loss days", US_national_yearly!$D:$AM, 10, FALSE), 1)</f>
        <v>8.5092697927956804E-2</v>
      </c>
      <c r="P15" s="7">
        <f>$B15 * IFERROR(VLOOKUP("transport|SO2|Work loss days", US_national_yearly!$D:$AM, 24, FALSE) / VLOOKUP("transport|SO2|Work loss days", US_national_yearly!$D:$AM, 10, FALSE), 1)</f>
        <v>8.5711389040211222E-2</v>
      </c>
      <c r="Q15" s="7">
        <f>$B15 * IFERROR(VLOOKUP("transport|SO2|Work loss days", US_national_yearly!$D:$AM, 25, FALSE) / VLOOKUP("transport|SO2|Work loss days", US_national_yearly!$D:$AM, 10, FALSE), 1)</f>
        <v>8.6330080152465669E-2</v>
      </c>
      <c r="R15" s="7">
        <f>$B15 * IFERROR(VLOOKUP("transport|SO2|Work loss days", US_national_yearly!$D:$AM, 26, FALSE) / VLOOKUP("transport|SO2|Work loss days", US_national_yearly!$D:$AM, 10, FALSE), 1)</f>
        <v>8.6948771264720101E-2</v>
      </c>
      <c r="S15" s="7">
        <f>$B15 * IFERROR(VLOOKUP("transport|SO2|Work loss days", US_national_yearly!$D:$AM, 27, FALSE) / VLOOKUP("transport|SO2|Work loss days", US_national_yearly!$D:$AM, 10, FALSE), 1)</f>
        <v>8.7640156542865902E-2</v>
      </c>
      <c r="T15" s="7">
        <f>$B15 * IFERROR(VLOOKUP("transport|SO2|Work loss days", US_national_yearly!$D:$AM, 28, FALSE) / VLOOKUP("transport|SO2|Work loss days", US_national_yearly!$D:$AM, 10, FALSE), 1)</f>
        <v>8.8331541821011703E-2</v>
      </c>
      <c r="U15" s="7">
        <f>$B15 * IFERROR(VLOOKUP("transport|SO2|Work loss days", US_national_yearly!$D:$AM, 29, FALSE) / VLOOKUP("transport|SO2|Work loss days", US_national_yearly!$D:$AM, 10, FALSE), 1)</f>
        <v>8.9022927099157489E-2</v>
      </c>
      <c r="V15" s="7">
        <f>$B15 * IFERROR(VLOOKUP("transport|SO2|Work loss days", US_national_yearly!$D:$AM, 30, FALSE) / VLOOKUP("transport|SO2|Work loss days", US_national_yearly!$D:$AM, 10, FALSE), 1)</f>
        <v>8.971431237730329E-2</v>
      </c>
      <c r="W15" s="7">
        <f>$B15 * IFERROR(VLOOKUP("transport|SO2|Work loss days", US_national_yearly!$D:$AM, 31, FALSE) / VLOOKUP("transport|SO2|Work loss days", US_national_yearly!$D:$AM, 10, FALSE), 1)</f>
        <v>9.0405697655449091E-2</v>
      </c>
      <c r="X15" s="7">
        <f>$B15 * IFERROR(VLOOKUP("transport|SO2|Work loss days", US_national_yearly!$D:$AM, 32, FALSE) / VLOOKUP("transport|SO2|Work loss days", US_national_yearly!$D:$AM, 10, FALSE), 1)</f>
        <v>9.1026466337017359E-2</v>
      </c>
      <c r="Y15" s="7">
        <f>$B15 * IFERROR(VLOOKUP("transport|SO2|Work loss days", US_national_yearly!$D:$AM, 33, FALSE) / VLOOKUP("transport|SO2|Work loss days", US_national_yearly!$D:$AM, 10, FALSE), 1)</f>
        <v>9.164723501858564E-2</v>
      </c>
      <c r="Z15" s="7">
        <f>$B15 * IFERROR(VLOOKUP("transport|SO2|Work loss days", US_national_yearly!$D:$AM, 34, FALSE) / VLOOKUP("transport|SO2|Work loss days", US_national_yearly!$D:$AM, 10, FALSE), 1)</f>
        <v>9.2268003700153908E-2</v>
      </c>
      <c r="AA15" s="7">
        <f>$B15 * IFERROR(VLOOKUP("transport|SO2|Work loss days", US_national_yearly!$D:$AM, 35, FALSE) / VLOOKUP("transport|SO2|Work loss days", US_national_yearly!$D:$AM, 10, FALSE), 1)</f>
        <v>9.288877238172219E-2</v>
      </c>
      <c r="AB15" s="7">
        <f>$B15 * IFERROR(VLOOKUP("transport|SO2|Work loss days", US_national_yearly!$D:$AM, 36, FALSE) / VLOOKUP("transport|SO2|Work loss days", US_national_yearly!$D:$AM, 10, FALSE), 1)</f>
        <v>9.3509541063290472E-2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1.1733378282253506E-4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1.2088240573563096E-4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1.2443102864872688E-4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1.2797965156182279E-4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1.3152827447491871E-4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1.3492751780436627E-4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1.3832676113381383E-4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1.4123924931060545E-4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1.441517374873971E-4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1.4706422566418872E-4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1.4997671384098035E-4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1.5288920201777194E-4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1.5484573063755954E-4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1.5680225925734711E-4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1.5875878787713468E-4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1.6071531649692225E-4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1.6267184511670982E-4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1.6370083986575026E-4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1.6472983461479068E-4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1.6575882936383109E-4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1.6678782411287151E-4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1.6781681886191195E-4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1.6850761705291032E-4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1.6919841524390869E-4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1.6988921343490709E-4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1.7058001162590549E-4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1.7127080981690386E-4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8.4787202396396383E-3</v>
      </c>
      <c r="C2" s="7">
        <f>$B2 * IFERROR(VLOOKUP("electricity|PM25|Premature mortality", US_national_yearly!$D:$AM, 11, FALSE) / VLOOKUP("electricity|PM25|Premature mortality", US_national_yearly!$D:$AM, 10, FALSE), 1)</f>
        <v>8.5837396842399147E-3</v>
      </c>
      <c r="D2" s="7">
        <f>$B2 * IFERROR(VLOOKUP("electricity|PM25|Premature mortality", US_national_yearly!$D:$AM, 12, FALSE) / VLOOKUP("electricity|PM25|Premature mortality", US_national_yearly!$D:$AM, 10, FALSE), 1)</f>
        <v>8.688759128840191E-3</v>
      </c>
      <c r="E2" s="7">
        <f>$B2 * IFERROR(VLOOKUP("electricity|PM25|Premature mortality", US_national_yearly!$D:$AM, 13, FALSE) / VLOOKUP("electricity|PM25|Premature mortality", US_national_yearly!$D:$AM, 10, FALSE), 1)</f>
        <v>8.7937785734404673E-3</v>
      </c>
      <c r="F2" s="7">
        <f>$B2 * IFERROR(VLOOKUP("electricity|PM25|Premature mortality", US_national_yearly!$D:$AM, 14, FALSE) / VLOOKUP("electricity|PM25|Premature mortality", US_national_yearly!$D:$AM, 10, FALSE), 1)</f>
        <v>8.8987980180407454E-3</v>
      </c>
      <c r="G2" s="7">
        <f>$B2 * IFERROR(VLOOKUP("electricity|PM25|Premature mortality", US_national_yearly!$D:$AM, 15, FALSE) / VLOOKUP("electricity|PM25|Premature mortality", US_national_yearly!$D:$AM, 10, FALSE), 1)</f>
        <v>9.1050617923456659E-3</v>
      </c>
      <c r="H2" s="7">
        <f>$B2 * IFERROR(VLOOKUP("electricity|PM25|Premature mortality", US_national_yearly!$D:$AM, 16, FALSE) / VLOOKUP("electricity|PM25|Premature mortality", US_national_yearly!$D:$AM, 10, FALSE), 1)</f>
        <v>9.3113255666505863E-3</v>
      </c>
      <c r="I2" s="7">
        <f>$B2 * IFERROR(VLOOKUP("electricity|PM25|Premature mortality", US_national_yearly!$D:$AM, 17, FALSE) / VLOOKUP("electricity|PM25|Premature mortality", US_national_yearly!$D:$AM, 10, FALSE), 1)</f>
        <v>9.4499159486874495E-3</v>
      </c>
      <c r="J2" s="7">
        <f>$B2 * IFERROR(VLOOKUP("electricity|PM25|Premature mortality", US_national_yearly!$D:$AM, 18, FALSE) / VLOOKUP("electricity|PM25|Premature mortality", US_national_yearly!$D:$AM, 10, FALSE), 1)</f>
        <v>9.5885063307243126E-3</v>
      </c>
      <c r="K2" s="7">
        <f>$B2 * IFERROR(VLOOKUP("electricity|PM25|Premature mortality", US_national_yearly!$D:$AM, 19, FALSE) / VLOOKUP("electricity|PM25|Premature mortality", US_national_yearly!$D:$AM, 10, FALSE), 1)</f>
        <v>9.7270967127611758E-3</v>
      </c>
      <c r="L2" s="7">
        <f>$B2 * IFERROR(VLOOKUP("electricity|PM25|Premature mortality", US_national_yearly!$D:$AM, 20, FALSE) / VLOOKUP("electricity|PM25|Premature mortality", US_national_yearly!$D:$AM, 10, FALSE), 1)</f>
        <v>9.8656870947980407E-3</v>
      </c>
      <c r="M2" s="7">
        <f>$B2 * IFERROR(VLOOKUP("electricity|PM25|Premature mortality", US_national_yearly!$D:$AM, 21, FALSE) / VLOOKUP("electricity|PM25|Premature mortality", US_national_yearly!$D:$AM, 10, FALSE), 1)</f>
        <v>1.0004277476834902E-2</v>
      </c>
      <c r="N2" s="7">
        <f>$B2 * IFERROR(VLOOKUP("electricity|PM25|Premature mortality", US_national_yearly!$D:$AM, 22, FALSE) / VLOOKUP("electricity|PM25|Premature mortality", US_national_yearly!$D:$AM, 10, FALSE), 1)</f>
        <v>1.0114749702036361E-2</v>
      </c>
      <c r="O2" s="7">
        <f>$B2 * IFERROR(VLOOKUP("electricity|PM25|Premature mortality", US_national_yearly!$D:$AM, 23, FALSE) / VLOOKUP("electricity|PM25|Premature mortality", US_national_yearly!$D:$AM, 10, FALSE), 1)</f>
        <v>1.0225221927237817E-2</v>
      </c>
      <c r="P2" s="7">
        <f>$B2 * IFERROR(VLOOKUP("electricity|PM25|Premature mortality", US_national_yearly!$D:$AM, 24, FALSE) / VLOOKUP("electricity|PM25|Premature mortality", US_national_yearly!$D:$AM, 10, FALSE), 1)</f>
        <v>1.0335694152439276E-2</v>
      </c>
      <c r="Q2" s="7">
        <f>$B2 * IFERROR(VLOOKUP("electricity|PM25|Premature mortality", US_national_yearly!$D:$AM, 25, FALSE) / VLOOKUP("electricity|PM25|Premature mortality", US_national_yearly!$D:$AM, 10, FALSE), 1)</f>
        <v>1.0446166377640733E-2</v>
      </c>
      <c r="R2" s="7">
        <f>$B2 * IFERROR(VLOOKUP("electricity|PM25|Premature mortality", US_national_yearly!$D:$AM, 26, FALSE) / VLOOKUP("electricity|PM25|Premature mortality", US_national_yearly!$D:$AM, 10, FALSE), 1)</f>
        <v>1.0556638602842191E-2</v>
      </c>
      <c r="S2" s="7">
        <f>$B2 * IFERROR(VLOOKUP("electricity|PM25|Premature mortality", US_national_yearly!$D:$AM, 27, FALSE) / VLOOKUP("electricity|PM25|Premature mortality", US_national_yearly!$D:$AM, 10, FALSE), 1)</f>
        <v>1.061985140220577E-2</v>
      </c>
      <c r="T2" s="7">
        <f>$B2 * IFERROR(VLOOKUP("electricity|PM25|Premature mortality", US_national_yearly!$D:$AM, 28, FALSE) / VLOOKUP("electricity|PM25|Premature mortality", US_national_yearly!$D:$AM, 10, FALSE), 1)</f>
        <v>1.0683064201569347E-2</v>
      </c>
      <c r="U2" s="7">
        <f>$B2 * IFERROR(VLOOKUP("electricity|PM25|Premature mortality", US_national_yearly!$D:$AM, 29, FALSE) / VLOOKUP("electricity|PM25|Premature mortality", US_national_yearly!$D:$AM, 10, FALSE), 1)</f>
        <v>1.0746277000932928E-2</v>
      </c>
      <c r="V2" s="7">
        <f>$B2 * IFERROR(VLOOKUP("electricity|PM25|Premature mortality", US_national_yearly!$D:$AM, 30, FALSE) / VLOOKUP("electricity|PM25|Premature mortality", US_national_yearly!$D:$AM, 10, FALSE), 1)</f>
        <v>1.0809489800296505E-2</v>
      </c>
      <c r="W2" s="7">
        <f>$B2 * IFERROR(VLOOKUP("electricity|PM25|Premature mortality", US_national_yearly!$D:$AM, 31, FALSE) / VLOOKUP("electricity|PM25|Premature mortality", US_national_yearly!$D:$AM, 10, FALSE), 1)</f>
        <v>1.0872702599660085E-2</v>
      </c>
      <c r="X2" s="7">
        <f>$B2 * IFERROR(VLOOKUP("electricity|PM25|Premature mortality", US_national_yearly!$D:$AM, 32, FALSE) / VLOOKUP("electricity|PM25|Premature mortality", US_national_yearly!$D:$AM, 10, FALSE), 1)</f>
        <v>1.089026270661507E-2</v>
      </c>
      <c r="Y2" s="7">
        <f>$B2 * IFERROR(VLOOKUP("electricity|PM25|Premature mortality", US_national_yearly!$D:$AM, 33, FALSE) / VLOOKUP("electricity|PM25|Premature mortality", US_national_yearly!$D:$AM, 10, FALSE), 1)</f>
        <v>1.0907822813570056E-2</v>
      </c>
      <c r="Z2" s="7">
        <f>$B2 * IFERROR(VLOOKUP("electricity|PM25|Premature mortality", US_national_yearly!$D:$AM, 34, FALSE) / VLOOKUP("electricity|PM25|Premature mortality", US_national_yearly!$D:$AM, 10, FALSE), 1)</f>
        <v>1.0925382920525042E-2</v>
      </c>
      <c r="AA2" s="7">
        <f>$B2 * IFERROR(VLOOKUP("electricity|PM25|Premature mortality", US_national_yearly!$D:$AM, 35, FALSE) / VLOOKUP("electricity|PM25|Premature mortality", US_national_yearly!$D:$AM, 10, FALSE), 1)</f>
        <v>1.0942943027480031E-2</v>
      </c>
      <c r="AB2" s="7">
        <f>$B2 * IFERROR(VLOOKUP("electricity|PM25|Premature mortality", US_national_yearly!$D:$AM, 36, FALSE) / VLOOKUP("electricity|PM25|Premature mortality", US_national_yearly!$D:$AM, 10, FALSE), 1)</f>
        <v>1.0960503134435015E-2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1.8427552756418943E-5</v>
      </c>
      <c r="C3" s="7">
        <f>$B3 * IFERROR(VLOOKUP("electricity|PM25|Infant mortality", US_national_yearly!$D:$AM, 11, FALSE) / VLOOKUP("electricity|PM25|Infant mortality", US_national_yearly!$D:$AM, 10, FALSE), 1)</f>
        <v>1.8266993535669264E-5</v>
      </c>
      <c r="D3" s="7">
        <f>$B3 * IFERROR(VLOOKUP("electricity|PM25|Infant mortality", US_national_yearly!$D:$AM, 12, FALSE) / VLOOKUP("electricity|PM25|Infant mortality", US_national_yearly!$D:$AM, 10, FALSE), 1)</f>
        <v>1.8106434314919589E-5</v>
      </c>
      <c r="E3" s="7">
        <f>$B3 * IFERROR(VLOOKUP("electricity|PM25|Infant mortality", US_national_yearly!$D:$AM, 13, FALSE) / VLOOKUP("electricity|PM25|Infant mortality", US_national_yearly!$D:$AM, 10, FALSE), 1)</f>
        <v>1.794587509416991E-5</v>
      </c>
      <c r="F3" s="7">
        <f>$B3 * IFERROR(VLOOKUP("electricity|PM25|Infant mortality", US_national_yearly!$D:$AM, 14, FALSE) / VLOOKUP("electricity|PM25|Infant mortality", US_national_yearly!$D:$AM, 10, FALSE), 1)</f>
        <v>1.7785315873420231E-5</v>
      </c>
      <c r="G3" s="7">
        <f>$B3 * IFERROR(VLOOKUP("electricity|PM25|Infant mortality", US_national_yearly!$D:$AM, 15, FALSE) / VLOOKUP("electricity|PM25|Infant mortality", US_national_yearly!$D:$AM, 10, FALSE), 1)</f>
        <v>1.1794667147134053E-5</v>
      </c>
      <c r="H3" s="7">
        <f>$B3 * IFERROR(VLOOKUP("electricity|PM25|Infant mortality", US_national_yearly!$D:$AM, 16, FALSE) / VLOOKUP("electricity|PM25|Infant mortality", US_national_yearly!$D:$AM, 10, FALSE), 1)</f>
        <v>5.8040184208478776E-6</v>
      </c>
      <c r="I3" s="7">
        <f>$B3 * IFERROR(VLOOKUP("electricity|PM25|Infant mortality", US_national_yearly!$D:$AM, 17, FALSE) / VLOOKUP("electricity|PM25|Infant mortality", US_national_yearly!$D:$AM, 10, FALSE), 1)</f>
        <v>5.7630393912542047E-6</v>
      </c>
      <c r="J3" s="7">
        <f>$B3 * IFERROR(VLOOKUP("electricity|PM25|Infant mortality", US_national_yearly!$D:$AM, 18, FALSE) / VLOOKUP("electricity|PM25|Infant mortality", US_national_yearly!$D:$AM, 10, FALSE), 1)</f>
        <v>5.7220603616605336E-6</v>
      </c>
      <c r="K3" s="7">
        <f>$B3 * IFERROR(VLOOKUP("electricity|PM25|Infant mortality", US_national_yearly!$D:$AM, 19, FALSE) / VLOOKUP("electricity|PM25|Infant mortality", US_national_yearly!$D:$AM, 10, FALSE), 1)</f>
        <v>5.6810813320668599E-6</v>
      </c>
      <c r="L3" s="7">
        <f>$B3 * IFERROR(VLOOKUP("electricity|PM25|Infant mortality", US_national_yearly!$D:$AM, 20, FALSE) / VLOOKUP("electricity|PM25|Infant mortality", US_national_yearly!$D:$AM, 10, FALSE), 1)</f>
        <v>5.6401023024731879E-6</v>
      </c>
      <c r="M3" s="7">
        <f>$B3 * IFERROR(VLOOKUP("electricity|PM25|Infant mortality", US_national_yearly!$D:$AM, 21, FALSE) / VLOOKUP("electricity|PM25|Infant mortality", US_national_yearly!$D:$AM, 10, FALSE), 1)</f>
        <v>5.599123272879515E-6</v>
      </c>
      <c r="N3" s="7">
        <f>$B3 * IFERROR(VLOOKUP("electricity|PM25|Infant mortality", US_national_yearly!$D:$AM, 22, FALSE) / VLOOKUP("electricity|PM25|Infant mortality", US_national_yearly!$D:$AM, 10, FALSE), 1)</f>
        <v>5.5727683161595226E-6</v>
      </c>
      <c r="O3" s="7">
        <f>$B3 * IFERROR(VLOOKUP("electricity|PM25|Infant mortality", US_national_yearly!$D:$AM, 23, FALSE) / VLOOKUP("electricity|PM25|Infant mortality", US_national_yearly!$D:$AM, 10, FALSE), 1)</f>
        <v>5.5464133594395294E-6</v>
      </c>
      <c r="P3" s="7">
        <f>$B3 * IFERROR(VLOOKUP("electricity|PM25|Infant mortality", US_national_yearly!$D:$AM, 24, FALSE) / VLOOKUP("electricity|PM25|Infant mortality", US_national_yearly!$D:$AM, 10, FALSE), 1)</f>
        <v>5.5200584027195354E-6</v>
      </c>
      <c r="Q3" s="7">
        <f>$B3 * IFERROR(VLOOKUP("electricity|PM25|Infant mortality", US_national_yearly!$D:$AM, 25, FALSE) / VLOOKUP("electricity|PM25|Infant mortality", US_national_yearly!$D:$AM, 10, FALSE), 1)</f>
        <v>5.4937034459995431E-6</v>
      </c>
      <c r="R3" s="7">
        <f>$B3 * IFERROR(VLOOKUP("electricity|PM25|Infant mortality", US_national_yearly!$D:$AM, 26, FALSE) / VLOOKUP("electricity|PM25|Infant mortality", US_national_yearly!$D:$AM, 10, FALSE), 1)</f>
        <v>5.467348489279549E-6</v>
      </c>
      <c r="S3" s="7">
        <f>$B3 * IFERROR(VLOOKUP("electricity|PM25|Infant mortality", US_national_yearly!$D:$AM, 27, FALSE) / VLOOKUP("electricity|PM25|Infant mortality", US_national_yearly!$D:$AM, 10, FALSE), 1)</f>
        <v>5.4357746621875055E-6</v>
      </c>
      <c r="T3" s="7">
        <f>$B3 * IFERROR(VLOOKUP("electricity|PM25|Infant mortality", US_national_yearly!$D:$AM, 28, FALSE) / VLOOKUP("electricity|PM25|Infant mortality", US_national_yearly!$D:$AM, 10, FALSE), 1)</f>
        <v>5.4042008350954619E-6</v>
      </c>
      <c r="U3" s="7">
        <f>$B3 * IFERROR(VLOOKUP("electricity|PM25|Infant mortality", US_national_yearly!$D:$AM, 29, FALSE) / VLOOKUP("electricity|PM25|Infant mortality", US_national_yearly!$D:$AM, 10, FALSE), 1)</f>
        <v>5.3726270080034192E-6</v>
      </c>
      <c r="V3" s="7">
        <f>$B3 * IFERROR(VLOOKUP("electricity|PM25|Infant mortality", US_national_yearly!$D:$AM, 30, FALSE) / VLOOKUP("electricity|PM25|Infant mortality", US_national_yearly!$D:$AM, 10, FALSE), 1)</f>
        <v>5.3410531809113757E-6</v>
      </c>
      <c r="W3" s="7">
        <f>$B3 * IFERROR(VLOOKUP("electricity|PM25|Infant mortality", US_national_yearly!$D:$AM, 31, FALSE) / VLOOKUP("electricity|PM25|Infant mortality", US_national_yearly!$D:$AM, 10, FALSE), 1)</f>
        <v>5.3094793538193321E-6</v>
      </c>
      <c r="X3" s="7">
        <f>$B3 * IFERROR(VLOOKUP("electricity|PM25|Infant mortality", US_national_yearly!$D:$AM, 32, FALSE) / VLOOKUP("electricity|PM25|Infant mortality", US_national_yearly!$D:$AM, 10, FALSE), 1)</f>
        <v>5.276851745692208E-6</v>
      </c>
      <c r="Y3" s="7">
        <f>$B3 * IFERROR(VLOOKUP("electricity|PM25|Infant mortality", US_national_yearly!$D:$AM, 33, FALSE) / VLOOKUP("electricity|PM25|Infant mortality", US_national_yearly!$D:$AM, 10, FALSE), 1)</f>
        <v>5.2442241375650848E-6</v>
      </c>
      <c r="Z3" s="7">
        <f>$B3 * IFERROR(VLOOKUP("electricity|PM25|Infant mortality", US_national_yearly!$D:$AM, 34, FALSE) / VLOOKUP("electricity|PM25|Infant mortality", US_national_yearly!$D:$AM, 10, FALSE), 1)</f>
        <v>5.2115965294379607E-6</v>
      </c>
      <c r="AA3" s="7">
        <f>$B3 * IFERROR(VLOOKUP("electricity|PM25|Infant mortality", US_national_yearly!$D:$AM, 35, FALSE) / VLOOKUP("electricity|PM25|Infant mortality", US_national_yearly!$D:$AM, 10, FALSE), 1)</f>
        <v>5.1789689213108366E-6</v>
      </c>
      <c r="AB3" s="7">
        <f>$B3 * IFERROR(VLOOKUP("electricity|PM25|Infant mortality", US_national_yearly!$D:$AM, 36, FALSE) / VLOOKUP("electricity|PM25|Infant mortality", US_national_yearly!$D:$AM, 10, FALSE), 1)</f>
        <v>5.1463413131837134E-6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2.0873868031671051E-2</v>
      </c>
      <c r="C6" s="7">
        <f>$B6 * IFERROR(VLOOKUP("electricity|PM25|Asthma symptoms cough", US_national_yearly!$D:$AM, 11, FALSE) / VLOOKUP("electricity|PM25|Asthma symptoms cough", US_national_yearly!$D:$AM, 10, FALSE), 1)</f>
        <v>2.0873868031671051E-2</v>
      </c>
      <c r="D6" s="7">
        <f>$B6 * IFERROR(VLOOKUP("electricity|PM25|Asthma symptoms cough", US_national_yearly!$D:$AM, 12, FALSE) / VLOOKUP("electricity|PM25|Asthma symptoms cough", US_national_yearly!$D:$AM, 10, FALSE), 1)</f>
        <v>2.0873868031671051E-2</v>
      </c>
      <c r="E6" s="7">
        <f>$B6 * IFERROR(VLOOKUP("electricity|PM25|Asthma symptoms cough", US_national_yearly!$D:$AM, 13, FALSE) / VLOOKUP("electricity|PM25|Asthma symptoms cough", US_national_yearly!$D:$AM, 10, FALSE), 1)</f>
        <v>2.0873868031671051E-2</v>
      </c>
      <c r="F6" s="7">
        <f>$B6 * IFERROR(VLOOKUP("electricity|PM25|Asthma symptoms cough", US_national_yearly!$D:$AM, 14, FALSE) / VLOOKUP("electricity|PM25|Asthma symptoms cough", US_national_yearly!$D:$AM, 10, FALSE), 1)</f>
        <v>2.0873868031671051E-2</v>
      </c>
      <c r="G6" s="7">
        <f>$B6 * IFERROR(VLOOKUP("electricity|PM25|Asthma symptoms cough", US_national_yearly!$D:$AM, 15, FALSE) / VLOOKUP("electricity|PM25|Asthma symptoms cough", US_national_yearly!$D:$AM, 10, FALSE), 1)</f>
        <v>2.0873868031671051E-2</v>
      </c>
      <c r="H6" s="7">
        <f>$B6 * IFERROR(VLOOKUP("electricity|PM25|Asthma symptoms cough", US_national_yearly!$D:$AM, 16, FALSE) / VLOOKUP("electricity|PM25|Asthma symptoms cough", US_national_yearly!$D:$AM, 10, FALSE), 1)</f>
        <v>2.0873868031671051E-2</v>
      </c>
      <c r="I6" s="7">
        <f>$B6 * IFERROR(VLOOKUP("electricity|PM25|Asthma symptoms cough", US_national_yearly!$D:$AM, 17, FALSE) / VLOOKUP("electricity|PM25|Asthma symptoms cough", US_national_yearly!$D:$AM, 10, FALSE), 1)</f>
        <v>2.0873868031671051E-2</v>
      </c>
      <c r="J6" s="7">
        <f>$B6 * IFERROR(VLOOKUP("electricity|PM25|Asthma symptoms cough", US_national_yearly!$D:$AM, 18, FALSE) / VLOOKUP("electricity|PM25|Asthma symptoms cough", US_national_yearly!$D:$AM, 10, FALSE), 1)</f>
        <v>2.0873868031671051E-2</v>
      </c>
      <c r="K6" s="7">
        <f>$B6 * IFERROR(VLOOKUP("electricity|PM25|Asthma symptoms cough", US_national_yearly!$D:$AM, 19, FALSE) / VLOOKUP("electricity|PM25|Asthma symptoms cough", US_national_yearly!$D:$AM, 10, FALSE), 1)</f>
        <v>2.0873868031671051E-2</v>
      </c>
      <c r="L6" s="7">
        <f>$B6 * IFERROR(VLOOKUP("electricity|PM25|Asthma symptoms cough", US_national_yearly!$D:$AM, 20, FALSE) / VLOOKUP("electricity|PM25|Asthma symptoms cough", US_national_yearly!$D:$AM, 10, FALSE), 1)</f>
        <v>2.0873868031671051E-2</v>
      </c>
      <c r="M6" s="7">
        <f>$B6 * IFERROR(VLOOKUP("electricity|PM25|Asthma symptoms cough", US_national_yearly!$D:$AM, 21, FALSE) / VLOOKUP("electricity|PM25|Asthma symptoms cough", US_national_yearly!$D:$AM, 10, FALSE), 1)</f>
        <v>2.0873868031671051E-2</v>
      </c>
      <c r="N6" s="7">
        <f>$B6 * IFERROR(VLOOKUP("electricity|PM25|Asthma symptoms cough", US_national_yearly!$D:$AM, 22, FALSE) / VLOOKUP("electricity|PM25|Asthma symptoms cough", US_national_yearly!$D:$AM, 10, FALSE), 1)</f>
        <v>2.0873868031671051E-2</v>
      </c>
      <c r="O6" s="7">
        <f>$B6 * IFERROR(VLOOKUP("electricity|PM25|Asthma symptoms cough", US_national_yearly!$D:$AM, 23, FALSE) / VLOOKUP("electricity|PM25|Asthma symptoms cough", US_national_yearly!$D:$AM, 10, FALSE), 1)</f>
        <v>2.0873868031671051E-2</v>
      </c>
      <c r="P6" s="7">
        <f>$B6 * IFERROR(VLOOKUP("electricity|PM25|Asthma symptoms cough", US_national_yearly!$D:$AM, 24, FALSE) / VLOOKUP("electricity|PM25|Asthma symptoms cough", US_national_yearly!$D:$AM, 10, FALSE), 1)</f>
        <v>2.0873868031671051E-2</v>
      </c>
      <c r="Q6" s="7">
        <f>$B6 * IFERROR(VLOOKUP("electricity|PM25|Asthma symptoms cough", US_national_yearly!$D:$AM, 25, FALSE) / VLOOKUP("electricity|PM25|Asthma symptoms cough", US_national_yearly!$D:$AM, 10, FALSE), 1)</f>
        <v>2.0873868031671051E-2</v>
      </c>
      <c r="R6" s="7">
        <f>$B6 * IFERROR(VLOOKUP("electricity|PM25|Asthma symptoms cough", US_national_yearly!$D:$AM, 26, FALSE) / VLOOKUP("electricity|PM25|Asthma symptoms cough", US_national_yearly!$D:$AM, 10, FALSE), 1)</f>
        <v>2.0873868031671051E-2</v>
      </c>
      <c r="S6" s="7">
        <f>$B6 * IFERROR(VLOOKUP("electricity|PM25|Asthma symptoms cough", US_national_yearly!$D:$AM, 27, FALSE) / VLOOKUP("electricity|PM25|Asthma symptoms cough", US_national_yearly!$D:$AM, 10, FALSE), 1)</f>
        <v>2.0873868031671051E-2</v>
      </c>
      <c r="T6" s="7">
        <f>$B6 * IFERROR(VLOOKUP("electricity|PM25|Asthma symptoms cough", US_national_yearly!$D:$AM, 28, FALSE) / VLOOKUP("electricity|PM25|Asthma symptoms cough", US_national_yearly!$D:$AM, 10, FALSE), 1)</f>
        <v>2.0873868031671051E-2</v>
      </c>
      <c r="U6" s="7">
        <f>$B6 * IFERROR(VLOOKUP("electricity|PM25|Asthma symptoms cough", US_national_yearly!$D:$AM, 29, FALSE) / VLOOKUP("electricity|PM25|Asthma symptoms cough", US_national_yearly!$D:$AM, 10, FALSE), 1)</f>
        <v>2.0873868031671051E-2</v>
      </c>
      <c r="V6" s="7">
        <f>$B6 * IFERROR(VLOOKUP("electricity|PM25|Asthma symptoms cough", US_national_yearly!$D:$AM, 30, FALSE) / VLOOKUP("electricity|PM25|Asthma symptoms cough", US_national_yearly!$D:$AM, 10, FALSE), 1)</f>
        <v>2.0873868031671051E-2</v>
      </c>
      <c r="W6" s="7">
        <f>$B6 * IFERROR(VLOOKUP("electricity|PM25|Asthma symptoms cough", US_national_yearly!$D:$AM, 31, FALSE) / VLOOKUP("electricity|PM25|Asthma symptoms cough", US_national_yearly!$D:$AM, 10, FALSE), 1)</f>
        <v>2.0873868031671051E-2</v>
      </c>
      <c r="X6" s="7">
        <f>$B6 * IFERROR(VLOOKUP("electricity|PM25|Asthma symptoms cough", US_national_yearly!$D:$AM, 32, FALSE) / VLOOKUP("electricity|PM25|Asthma symptoms cough", US_national_yearly!$D:$AM, 10, FALSE), 1)</f>
        <v>2.0873868031671051E-2</v>
      </c>
      <c r="Y6" s="7">
        <f>$B6 * IFERROR(VLOOKUP("electricity|PM25|Asthma symptoms cough", US_national_yearly!$D:$AM, 33, FALSE) / VLOOKUP("electricity|PM25|Asthma symptoms cough", US_national_yearly!$D:$AM, 10, FALSE), 1)</f>
        <v>2.0873868031671051E-2</v>
      </c>
      <c r="Z6" s="7">
        <f>$B6 * IFERROR(VLOOKUP("electricity|PM25|Asthma symptoms cough", US_national_yearly!$D:$AM, 34, FALSE) / VLOOKUP("electricity|PM25|Asthma symptoms cough", US_national_yearly!$D:$AM, 10, FALSE), 1)</f>
        <v>2.0873868031671051E-2</v>
      </c>
      <c r="AA6" s="7">
        <f>$B6 * IFERROR(VLOOKUP("electricity|PM25|Asthma symptoms cough", US_national_yearly!$D:$AM, 35, FALSE) / VLOOKUP("electricity|PM25|Asthma symptoms cough", US_national_yearly!$D:$AM, 10, FALSE), 1)</f>
        <v>2.0873868031671051E-2</v>
      </c>
      <c r="AB6" s="7">
        <f>$B6 * IFERROR(VLOOKUP("electricity|PM25|Asthma symptoms cough", US_national_yearly!$D:$AM, 36, FALSE) / VLOOKUP("electricity|PM25|Asthma symptoms cough", US_national_yearly!$D:$AM, 10, FALSE), 1)</f>
        <v>2.0873868031671051E-2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2.8109588322853873E-2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2.8109588322853873E-2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2.8109588322853873E-2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2.8109588322853873E-2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2.8109588322853873E-2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2.8109588322853873E-2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2.8109588322853873E-2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2.8109588322853873E-2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2.8109588322853873E-2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2.8109588322853873E-2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2.8109588322853873E-2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2.8109588322853873E-2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2.8109588322853873E-2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2.8109588322853873E-2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2.8109588322853873E-2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2.8109588322853873E-2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2.8109588322853873E-2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2.8109588322853873E-2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2.8109588322853873E-2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2.8109588322853873E-2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2.8109588322853873E-2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2.8109588322853873E-2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2.8109588322853873E-2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2.8109588322853873E-2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2.8109588322853873E-2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2.8109588322853873E-2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2.8109588322853873E-2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4.2947057552505719E-2</v>
      </c>
      <c r="C8" s="7">
        <f>$B8 * IFERROR(VLOOKUP("electricity|PM25|Asthma symptoms wheeze", US_national_yearly!$D:$AM, 11, FALSE) / VLOOKUP("electricity|PM25|Asthma symptoms wheeze", US_national_yearly!$D:$AM, 10, FALSE), 1)</f>
        <v>4.2947057552505719E-2</v>
      </c>
      <c r="D8" s="7">
        <f>$B8 * IFERROR(VLOOKUP("electricity|PM25|Asthma symptoms wheeze", US_national_yearly!$D:$AM, 12, FALSE) / VLOOKUP("electricity|PM25|Asthma symptoms wheeze", US_national_yearly!$D:$AM, 10, FALSE), 1)</f>
        <v>4.2947057552505719E-2</v>
      </c>
      <c r="E8" s="7">
        <f>$B8 * IFERROR(VLOOKUP("electricity|PM25|Asthma symptoms wheeze", US_national_yearly!$D:$AM, 13, FALSE) / VLOOKUP("electricity|PM25|Asthma symptoms wheeze", US_national_yearly!$D:$AM, 10, FALSE), 1)</f>
        <v>4.2947057552505719E-2</v>
      </c>
      <c r="F8" s="7">
        <f>$B8 * IFERROR(VLOOKUP("electricity|PM25|Asthma symptoms wheeze", US_national_yearly!$D:$AM, 14, FALSE) / VLOOKUP("electricity|PM25|Asthma symptoms wheeze", US_national_yearly!$D:$AM, 10, FALSE), 1)</f>
        <v>4.2947057552505719E-2</v>
      </c>
      <c r="G8" s="7">
        <f>$B8 * IFERROR(VLOOKUP("electricity|PM25|Asthma symptoms wheeze", US_national_yearly!$D:$AM, 15, FALSE) / VLOOKUP("electricity|PM25|Asthma symptoms wheeze", US_national_yearly!$D:$AM, 10, FALSE), 1)</f>
        <v>4.2947057552505719E-2</v>
      </c>
      <c r="H8" s="7">
        <f>$B8 * IFERROR(VLOOKUP("electricity|PM25|Asthma symptoms wheeze", US_national_yearly!$D:$AM, 16, FALSE) / VLOOKUP("electricity|PM25|Asthma symptoms wheeze", US_national_yearly!$D:$AM, 10, FALSE), 1)</f>
        <v>4.2947057552505719E-2</v>
      </c>
      <c r="I8" s="7">
        <f>$B8 * IFERROR(VLOOKUP("electricity|PM25|Asthma symptoms wheeze", US_national_yearly!$D:$AM, 17, FALSE) / VLOOKUP("electricity|PM25|Asthma symptoms wheeze", US_national_yearly!$D:$AM, 10, FALSE), 1)</f>
        <v>4.2947057552505719E-2</v>
      </c>
      <c r="J8" s="7">
        <f>$B8 * IFERROR(VLOOKUP("electricity|PM25|Asthma symptoms wheeze", US_national_yearly!$D:$AM, 18, FALSE) / VLOOKUP("electricity|PM25|Asthma symptoms wheeze", US_national_yearly!$D:$AM, 10, FALSE), 1)</f>
        <v>4.2947057552505719E-2</v>
      </c>
      <c r="K8" s="7">
        <f>$B8 * IFERROR(VLOOKUP("electricity|PM25|Asthma symptoms wheeze", US_national_yearly!$D:$AM, 19, FALSE) / VLOOKUP("electricity|PM25|Asthma symptoms wheeze", US_national_yearly!$D:$AM, 10, FALSE), 1)</f>
        <v>4.2947057552505719E-2</v>
      </c>
      <c r="L8" s="7">
        <f>$B8 * IFERROR(VLOOKUP("electricity|PM25|Asthma symptoms wheeze", US_national_yearly!$D:$AM, 20, FALSE) / VLOOKUP("electricity|PM25|Asthma symptoms wheeze", US_national_yearly!$D:$AM, 10, FALSE), 1)</f>
        <v>4.2947057552505719E-2</v>
      </c>
      <c r="M8" s="7">
        <f>$B8 * IFERROR(VLOOKUP("electricity|PM25|Asthma symptoms wheeze", US_national_yearly!$D:$AM, 21, FALSE) / VLOOKUP("electricity|PM25|Asthma symptoms wheeze", US_national_yearly!$D:$AM, 10, FALSE), 1)</f>
        <v>4.2947057552505719E-2</v>
      </c>
      <c r="N8" s="7">
        <f>$B8 * IFERROR(VLOOKUP("electricity|PM25|Asthma symptoms wheeze", US_national_yearly!$D:$AM, 22, FALSE) / VLOOKUP("electricity|PM25|Asthma symptoms wheeze", US_national_yearly!$D:$AM, 10, FALSE), 1)</f>
        <v>4.2947057552505719E-2</v>
      </c>
      <c r="O8" s="7">
        <f>$B8 * IFERROR(VLOOKUP("electricity|PM25|Asthma symptoms wheeze", US_national_yearly!$D:$AM, 23, FALSE) / VLOOKUP("electricity|PM25|Asthma symptoms wheeze", US_national_yearly!$D:$AM, 10, FALSE), 1)</f>
        <v>4.2947057552505719E-2</v>
      </c>
      <c r="P8" s="7">
        <f>$B8 * IFERROR(VLOOKUP("electricity|PM25|Asthma symptoms wheeze", US_national_yearly!$D:$AM, 24, FALSE) / VLOOKUP("electricity|PM25|Asthma symptoms wheeze", US_national_yearly!$D:$AM, 10, FALSE), 1)</f>
        <v>4.2947057552505719E-2</v>
      </c>
      <c r="Q8" s="7">
        <f>$B8 * IFERROR(VLOOKUP("electricity|PM25|Asthma symptoms wheeze", US_national_yearly!$D:$AM, 25, FALSE) / VLOOKUP("electricity|PM25|Asthma symptoms wheeze", US_national_yearly!$D:$AM, 10, FALSE), 1)</f>
        <v>4.2947057552505719E-2</v>
      </c>
      <c r="R8" s="7">
        <f>$B8 * IFERROR(VLOOKUP("electricity|PM25|Asthma symptoms wheeze", US_national_yearly!$D:$AM, 26, FALSE) / VLOOKUP("electricity|PM25|Asthma symptoms wheeze", US_national_yearly!$D:$AM, 10, FALSE), 1)</f>
        <v>4.2947057552505719E-2</v>
      </c>
      <c r="S8" s="7">
        <f>$B8 * IFERROR(VLOOKUP("electricity|PM25|Asthma symptoms wheeze", US_national_yearly!$D:$AM, 27, FALSE) / VLOOKUP("electricity|PM25|Asthma symptoms wheeze", US_national_yearly!$D:$AM, 10, FALSE), 1)</f>
        <v>4.2947057552505719E-2</v>
      </c>
      <c r="T8" s="7">
        <f>$B8 * IFERROR(VLOOKUP("electricity|PM25|Asthma symptoms wheeze", US_national_yearly!$D:$AM, 28, FALSE) / VLOOKUP("electricity|PM25|Asthma symptoms wheeze", US_national_yearly!$D:$AM, 10, FALSE), 1)</f>
        <v>4.2947057552505719E-2</v>
      </c>
      <c r="U8" s="7">
        <f>$B8 * IFERROR(VLOOKUP("electricity|PM25|Asthma symptoms wheeze", US_national_yearly!$D:$AM, 29, FALSE) / VLOOKUP("electricity|PM25|Asthma symptoms wheeze", US_national_yearly!$D:$AM, 10, FALSE), 1)</f>
        <v>4.2947057552505719E-2</v>
      </c>
      <c r="V8" s="7">
        <f>$B8 * IFERROR(VLOOKUP("electricity|PM25|Asthma symptoms wheeze", US_national_yearly!$D:$AM, 30, FALSE) / VLOOKUP("electricity|PM25|Asthma symptoms wheeze", US_national_yearly!$D:$AM, 10, FALSE), 1)</f>
        <v>4.2947057552505719E-2</v>
      </c>
      <c r="W8" s="7">
        <f>$B8 * IFERROR(VLOOKUP("electricity|PM25|Asthma symptoms wheeze", US_national_yearly!$D:$AM, 31, FALSE) / VLOOKUP("electricity|PM25|Asthma symptoms wheeze", US_national_yearly!$D:$AM, 10, FALSE), 1)</f>
        <v>4.2947057552505719E-2</v>
      </c>
      <c r="X8" s="7">
        <f>$B8 * IFERROR(VLOOKUP("electricity|PM25|Asthma symptoms wheeze", US_national_yearly!$D:$AM, 32, FALSE) / VLOOKUP("electricity|PM25|Asthma symptoms wheeze", US_national_yearly!$D:$AM, 10, FALSE), 1)</f>
        <v>4.2947057552505719E-2</v>
      </c>
      <c r="Y8" s="7">
        <f>$B8 * IFERROR(VLOOKUP("electricity|PM25|Asthma symptoms wheeze", US_national_yearly!$D:$AM, 33, FALSE) / VLOOKUP("electricity|PM25|Asthma symptoms wheeze", US_national_yearly!$D:$AM, 10, FALSE), 1)</f>
        <v>4.2947057552505719E-2</v>
      </c>
      <c r="Z8" s="7">
        <f>$B8 * IFERROR(VLOOKUP("electricity|PM25|Asthma symptoms wheeze", US_national_yearly!$D:$AM, 34, FALSE) / VLOOKUP("electricity|PM25|Asthma symptoms wheeze", US_national_yearly!$D:$AM, 10, FALSE), 1)</f>
        <v>4.2947057552505719E-2</v>
      </c>
      <c r="AA8" s="7">
        <f>$B8 * IFERROR(VLOOKUP("electricity|PM25|Asthma symptoms wheeze", US_national_yearly!$D:$AM, 35, FALSE) / VLOOKUP("electricity|PM25|Asthma symptoms wheeze", US_national_yearly!$D:$AM, 10, FALSE), 1)</f>
        <v>4.2947057552505719E-2</v>
      </c>
      <c r="AB8" s="7">
        <f>$B8 * IFERROR(VLOOKUP("electricity|PM25|Asthma symptoms wheeze", US_national_yearly!$D:$AM, 36, FALSE) / VLOOKUP("electricity|PM25|Asthma symptoms wheeze", US_national_yearly!$D:$AM, 10, FALSE), 1)</f>
        <v>4.2947057552505719E-2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6.5203756398445338E-4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6.5562108305605021E-4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6.5920460212764704E-4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6.6278812119924398E-4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6.6637164027084071E-4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6.7021308463011305E-4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6.7405452898938528E-4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6.7748646708658505E-4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6.8091840518378472E-4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6.8435034328098428E-4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6.8778228137818395E-4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6.9121421947538372E-4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6.9352918358776675E-4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6.958441477001499E-4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6.9815911181253304E-4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7.0047407592491607E-4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7.0278904003729921E-4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7.0494626283803868E-4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7.0710348563877794E-4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7.092607084395172E-4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7.1141793124025656E-4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7.1357515404099582E-4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7.1570823657912273E-4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7.1784131911724943E-4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7.1997440165537624E-4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7.2210748419350304E-4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7.2424056673162985E-4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3.1093012506763561E-3</v>
      </c>
      <c r="C13" s="7">
        <f>$B13 * IFERROR(VLOOKUP("electricity|PM25|Non-fatal heart attacks", US_national_yearly!$D:$AM, 11, FALSE) / VLOOKUP("electricity|PM25|Non-fatal heart attacks", US_national_yearly!$D:$AM, 10, FALSE), 1)</f>
        <v>3.1993616073944697E-3</v>
      </c>
      <c r="D13" s="7">
        <f>$B13 * IFERROR(VLOOKUP("electricity|PM25|Non-fatal heart attacks", US_national_yearly!$D:$AM, 12, FALSE) / VLOOKUP("electricity|PM25|Non-fatal heart attacks", US_national_yearly!$D:$AM, 10, FALSE), 1)</f>
        <v>3.289421964112583E-3</v>
      </c>
      <c r="E13" s="7">
        <f>$B13 * IFERROR(VLOOKUP("electricity|PM25|Non-fatal heart attacks", US_national_yearly!$D:$AM, 13, FALSE) / VLOOKUP("electricity|PM25|Non-fatal heart attacks", US_national_yearly!$D:$AM, 10, FALSE), 1)</f>
        <v>3.3794823208306958E-3</v>
      </c>
      <c r="F13" s="7">
        <f>$B13 * IFERROR(VLOOKUP("electricity|PM25|Non-fatal heart attacks", US_national_yearly!$D:$AM, 14, FALSE) / VLOOKUP("electricity|PM25|Non-fatal heart attacks", US_national_yearly!$D:$AM, 10, FALSE), 1)</f>
        <v>3.4695426775488095E-3</v>
      </c>
      <c r="G13" s="7">
        <f>$B13 * IFERROR(VLOOKUP("electricity|PM25|Non-fatal heart attacks", US_national_yearly!$D:$AM, 15, FALSE) / VLOOKUP("electricity|PM25|Non-fatal heart attacks", US_national_yearly!$D:$AM, 10, FALSE), 1)</f>
        <v>3.5550249957779436E-3</v>
      </c>
      <c r="H13" s="7">
        <f>$B13 * IFERROR(VLOOKUP("electricity|PM25|Non-fatal heart attacks", US_national_yearly!$D:$AM, 16, FALSE) / VLOOKUP("electricity|PM25|Non-fatal heart attacks", US_national_yearly!$D:$AM, 10, FALSE), 1)</f>
        <v>3.6405073140070767E-3</v>
      </c>
      <c r="I13" s="7">
        <f>$B13 * IFERROR(VLOOKUP("electricity|PM25|Non-fatal heart attacks", US_national_yearly!$D:$AM, 17, FALSE) / VLOOKUP("electricity|PM25|Non-fatal heart attacks", US_national_yearly!$D:$AM, 10, FALSE), 1)</f>
        <v>3.7102507940164503E-3</v>
      </c>
      <c r="J13" s="7">
        <f>$B13 * IFERROR(VLOOKUP("electricity|PM25|Non-fatal heart attacks", US_national_yearly!$D:$AM, 18, FALSE) / VLOOKUP("electricity|PM25|Non-fatal heart attacks", US_national_yearly!$D:$AM, 10, FALSE), 1)</f>
        <v>3.7799942740258238E-3</v>
      </c>
      <c r="K13" s="7">
        <f>$B13 * IFERROR(VLOOKUP("electricity|PM25|Non-fatal heart attacks", US_national_yearly!$D:$AM, 19, FALSE) / VLOOKUP("electricity|PM25|Non-fatal heart attacks", US_national_yearly!$D:$AM, 10, FALSE), 1)</f>
        <v>3.8497377540351965E-3</v>
      </c>
      <c r="L13" s="7">
        <f>$B13 * IFERROR(VLOOKUP("electricity|PM25|Non-fatal heart attacks", US_national_yearly!$D:$AM, 20, FALSE) / VLOOKUP("electricity|PM25|Non-fatal heart attacks", US_national_yearly!$D:$AM, 10, FALSE), 1)</f>
        <v>3.9194812340445691E-3</v>
      </c>
      <c r="M13" s="7">
        <f>$B13 * IFERROR(VLOOKUP("electricity|PM25|Non-fatal heart attacks", US_national_yearly!$D:$AM, 21, FALSE) / VLOOKUP("electricity|PM25|Non-fatal heart attacks", US_national_yearly!$D:$AM, 10, FALSE), 1)</f>
        <v>3.9892247140539431E-3</v>
      </c>
      <c r="N13" s="7">
        <f>$B13 * IFERROR(VLOOKUP("electricity|PM25|Non-fatal heart attacks", US_national_yearly!$D:$AM, 22, FALSE) / VLOOKUP("electricity|PM25|Non-fatal heart attacks", US_national_yearly!$D:$AM, 10, FALSE), 1)</f>
        <v>4.034479229196552E-3</v>
      </c>
      <c r="O13" s="7">
        <f>$B13 * IFERROR(VLOOKUP("electricity|PM25|Non-fatal heart attacks", US_national_yearly!$D:$AM, 23, FALSE) / VLOOKUP("electricity|PM25|Non-fatal heart attacks", US_national_yearly!$D:$AM, 10, FALSE), 1)</f>
        <v>4.0797337443391601E-3</v>
      </c>
      <c r="P13" s="7">
        <f>$B13 * IFERROR(VLOOKUP("electricity|PM25|Non-fatal heart attacks", US_national_yearly!$D:$AM, 24, FALSE) / VLOOKUP("electricity|PM25|Non-fatal heart attacks", US_national_yearly!$D:$AM, 10, FALSE), 1)</f>
        <v>4.1249882594817681E-3</v>
      </c>
      <c r="Q13" s="7">
        <f>$B13 * IFERROR(VLOOKUP("electricity|PM25|Non-fatal heart attacks", US_national_yearly!$D:$AM, 25, FALSE) / VLOOKUP("electricity|PM25|Non-fatal heart attacks", US_national_yearly!$D:$AM, 10, FALSE), 1)</f>
        <v>4.1702427746243761E-3</v>
      </c>
      <c r="R13" s="7">
        <f>$B13 * IFERROR(VLOOKUP("electricity|PM25|Non-fatal heart attacks", US_national_yearly!$D:$AM, 26, FALSE) / VLOOKUP("electricity|PM25|Non-fatal heart attacks", US_national_yearly!$D:$AM, 10, FALSE), 1)</f>
        <v>4.2154972897669851E-3</v>
      </c>
      <c r="S13" s="7">
        <f>$B13 * IFERROR(VLOOKUP("electricity|PM25|Non-fatal heart attacks", US_national_yearly!$D:$AM, 27, FALSE) / VLOOKUP("electricity|PM25|Non-fatal heart attacks", US_national_yearly!$D:$AM, 10, FALSE), 1)</f>
        <v>4.2404110629505731E-3</v>
      </c>
      <c r="T13" s="7">
        <f>$B13 * IFERROR(VLOOKUP("electricity|PM25|Non-fatal heart attacks", US_national_yearly!$D:$AM, 28, FALSE) / VLOOKUP("electricity|PM25|Non-fatal heart attacks", US_national_yearly!$D:$AM, 10, FALSE), 1)</f>
        <v>4.2653248361341619E-3</v>
      </c>
      <c r="U13" s="7">
        <f>$B13 * IFERROR(VLOOKUP("electricity|PM25|Non-fatal heart attacks", US_national_yearly!$D:$AM, 29, FALSE) / VLOOKUP("electricity|PM25|Non-fatal heart attacks", US_national_yearly!$D:$AM, 10, FALSE), 1)</f>
        <v>4.2902386093177508E-3</v>
      </c>
      <c r="V13" s="7">
        <f>$B13 * IFERROR(VLOOKUP("electricity|PM25|Non-fatal heart attacks", US_national_yearly!$D:$AM, 30, FALSE) / VLOOKUP("electricity|PM25|Non-fatal heart attacks", US_national_yearly!$D:$AM, 10, FALSE), 1)</f>
        <v>4.3151523825013388E-3</v>
      </c>
      <c r="W13" s="7">
        <f>$B13 * IFERROR(VLOOKUP("electricity|PM25|Non-fatal heart attacks", US_national_yearly!$D:$AM, 31, FALSE) / VLOOKUP("electricity|PM25|Non-fatal heart attacks", US_national_yearly!$D:$AM, 10, FALSE), 1)</f>
        <v>4.3400661556849277E-3</v>
      </c>
      <c r="X13" s="7">
        <f>$B13 * IFERROR(VLOOKUP("electricity|PM25|Non-fatal heart attacks", US_national_yearly!$D:$AM, 32, FALSE) / VLOOKUP("electricity|PM25|Non-fatal heart attacks", US_national_yearly!$D:$AM, 10, FALSE), 1)</f>
        <v>4.3595565937247175E-3</v>
      </c>
      <c r="Y13" s="7">
        <f>$B13 * IFERROR(VLOOKUP("electricity|PM25|Non-fatal heart attacks", US_national_yearly!$D:$AM, 33, FALSE) / VLOOKUP("electricity|PM25|Non-fatal heart attacks", US_national_yearly!$D:$AM, 10, FALSE), 1)</f>
        <v>4.3790470317645082E-3</v>
      </c>
      <c r="Z13" s="7">
        <f>$B13 * IFERROR(VLOOKUP("electricity|PM25|Non-fatal heart attacks", US_national_yearly!$D:$AM, 34, FALSE) / VLOOKUP("electricity|PM25|Non-fatal heart attacks", US_national_yearly!$D:$AM, 10, FALSE), 1)</f>
        <v>4.3985374698042971E-3</v>
      </c>
      <c r="AA13" s="7">
        <f>$B13 * IFERROR(VLOOKUP("electricity|PM25|Non-fatal heart attacks", US_national_yearly!$D:$AM, 35, FALSE) / VLOOKUP("electricity|PM25|Non-fatal heart attacks", US_national_yearly!$D:$AM, 10, FALSE), 1)</f>
        <v>4.4180279078440887E-3</v>
      </c>
      <c r="AB13" s="7">
        <f>$B13 * IFERROR(VLOOKUP("electricity|PM25|Non-fatal heart attacks", US_national_yearly!$D:$AM, 36, FALSE) / VLOOKUP("electricity|PM25|Non-fatal heart attacks", US_national_yearly!$D:$AM, 10, FALSE), 1)</f>
        <v>4.4375183458838785E-3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2.9080888618133383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2.9145446236118007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2.921000385410264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2.9274561472087268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2.9339119090071897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2.94349151146216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2.9530711139171304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2.969986083298616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2.9869010526801021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3.0038160220615873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3.0207309914430733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3.037645960824559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3.0611119017002006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3.0845778425758432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3.1080437834514854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3.1315097243271275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3.1549756652027692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3.1786440117171066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3.2023123582314437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3.2259807047457802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3.2496490512601177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3.2733173977744543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3.2936061110316084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3.3138948242887629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3.3341835375459179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3.3544722508030711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3.3747609640602265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0.49502646245674575</v>
      </c>
      <c r="C15" s="7">
        <f>$B15 * IFERROR(VLOOKUP("electricity|PM25|Work loss days", US_national_yearly!$D:$AM, 11, FALSE) / VLOOKUP("electricity|PM25|Work loss days", US_national_yearly!$D:$AM, 10, FALSE), 1)</f>
        <v>0.49644300929401025</v>
      </c>
      <c r="D15" s="7">
        <f>$B15 * IFERROR(VLOOKUP("electricity|PM25|Work loss days", US_national_yearly!$D:$AM, 12, FALSE) / VLOOKUP("electricity|PM25|Work loss days", US_national_yearly!$D:$AM, 10, FALSE), 1)</f>
        <v>0.49785955613127486</v>
      </c>
      <c r="E15" s="7">
        <f>$B15 * IFERROR(VLOOKUP("electricity|PM25|Work loss days", US_national_yearly!$D:$AM, 13, FALSE) / VLOOKUP("electricity|PM25|Work loss days", US_national_yearly!$D:$AM, 10, FALSE), 1)</f>
        <v>0.49927610296853936</v>
      </c>
      <c r="F15" s="7">
        <f>$B15 * IFERROR(VLOOKUP("electricity|PM25|Work loss days", US_national_yearly!$D:$AM, 14, FALSE) / VLOOKUP("electricity|PM25|Work loss days", US_national_yearly!$D:$AM, 10, FALSE), 1)</f>
        <v>0.50069264980580386</v>
      </c>
      <c r="G15" s="7">
        <f>$B15 * IFERROR(VLOOKUP("electricity|PM25|Work loss days", US_national_yearly!$D:$AM, 15, FALSE) / VLOOKUP("electricity|PM25|Work loss days", US_national_yearly!$D:$AM, 10, FALSE), 1)</f>
        <v>0.50252771351526626</v>
      </c>
      <c r="H15" s="7">
        <f>$B15 * IFERROR(VLOOKUP("electricity|PM25|Work loss days", US_national_yearly!$D:$AM, 16, FALSE) / VLOOKUP("electricity|PM25|Work loss days", US_national_yearly!$D:$AM, 10, FALSE), 1)</f>
        <v>0.50436277722472889</v>
      </c>
      <c r="I15" s="7">
        <f>$B15 * IFERROR(VLOOKUP("electricity|PM25|Work loss days", US_national_yearly!$D:$AM, 17, FALSE) / VLOOKUP("electricity|PM25|Work loss days", US_national_yearly!$D:$AM, 10, FALSE), 1)</f>
        <v>0.5071214821580361</v>
      </c>
      <c r="J15" s="7">
        <f>$B15 * IFERROR(VLOOKUP("electricity|PM25|Work loss days", US_national_yearly!$D:$AM, 18, FALSE) / VLOOKUP("electricity|PM25|Work loss days", US_national_yearly!$D:$AM, 10, FALSE), 1)</f>
        <v>0.50988018709134331</v>
      </c>
      <c r="K15" s="7">
        <f>$B15 * IFERROR(VLOOKUP("electricity|PM25|Work loss days", US_national_yearly!$D:$AM, 19, FALSE) / VLOOKUP("electricity|PM25|Work loss days", US_national_yearly!$D:$AM, 10, FALSE), 1)</f>
        <v>0.51263889202465063</v>
      </c>
      <c r="L15" s="7">
        <f>$B15 * IFERROR(VLOOKUP("electricity|PM25|Work loss days", US_national_yearly!$D:$AM, 20, FALSE) / VLOOKUP("electricity|PM25|Work loss days", US_national_yearly!$D:$AM, 10, FALSE), 1)</f>
        <v>0.51539759695795795</v>
      </c>
      <c r="M15" s="7">
        <f>$B15 * IFERROR(VLOOKUP("electricity|PM25|Work loss days", US_national_yearly!$D:$AM, 21, FALSE) / VLOOKUP("electricity|PM25|Work loss days", US_national_yearly!$D:$AM, 10, FALSE), 1)</f>
        <v>0.51815630189126527</v>
      </c>
      <c r="N15" s="7">
        <f>$B15 * IFERROR(VLOOKUP("electricity|PM25|Work loss days", US_national_yearly!$D:$AM, 22, FALSE) / VLOOKUP("electricity|PM25|Work loss days", US_national_yearly!$D:$AM, 10, FALSE), 1)</f>
        <v>0.52171798147629134</v>
      </c>
      <c r="O15" s="7">
        <f>$B15 * IFERROR(VLOOKUP("electricity|PM25|Work loss days", US_national_yearly!$D:$AM, 23, FALSE) / VLOOKUP("electricity|PM25|Work loss days", US_national_yearly!$D:$AM, 10, FALSE), 1)</f>
        <v>0.5252796610613174</v>
      </c>
      <c r="P15" s="7">
        <f>$B15 * IFERROR(VLOOKUP("electricity|PM25|Work loss days", US_national_yearly!$D:$AM, 24, FALSE) / VLOOKUP("electricity|PM25|Work loss days", US_national_yearly!$D:$AM, 10, FALSE), 1)</f>
        <v>0.52884134064634347</v>
      </c>
      <c r="Q15" s="7">
        <f>$B15 * IFERROR(VLOOKUP("electricity|PM25|Work loss days", US_national_yearly!$D:$AM, 25, FALSE) / VLOOKUP("electricity|PM25|Work loss days", US_national_yearly!$D:$AM, 10, FALSE), 1)</f>
        <v>0.53240302023136943</v>
      </c>
      <c r="R15" s="7">
        <f>$B15 * IFERROR(VLOOKUP("electricity|PM25|Work loss days", US_national_yearly!$D:$AM, 26, FALSE) / VLOOKUP("electricity|PM25|Work loss days", US_national_yearly!$D:$AM, 10, FALSE), 1)</f>
        <v>0.5359646998163955</v>
      </c>
      <c r="S15" s="7">
        <f>$B15 * IFERROR(VLOOKUP("electricity|PM25|Work loss days", US_national_yearly!$D:$AM, 27, FALSE) / VLOOKUP("electricity|PM25|Work loss days", US_national_yearly!$D:$AM, 10, FALSE), 1)</f>
        <v>0.53991690647313073</v>
      </c>
      <c r="T15" s="7">
        <f>$B15 * IFERROR(VLOOKUP("electricity|PM25|Work loss days", US_national_yearly!$D:$AM, 28, FALSE) / VLOOKUP("electricity|PM25|Work loss days", US_national_yearly!$D:$AM, 10, FALSE), 1)</f>
        <v>0.54386911312986608</v>
      </c>
      <c r="U15" s="7">
        <f>$B15 * IFERROR(VLOOKUP("electricity|PM25|Work loss days", US_national_yearly!$D:$AM, 29, FALSE) / VLOOKUP("electricity|PM25|Work loss days", US_national_yearly!$D:$AM, 10, FALSE), 1)</f>
        <v>0.54782131978660142</v>
      </c>
      <c r="V15" s="7">
        <f>$B15 * IFERROR(VLOOKUP("electricity|PM25|Work loss days", US_national_yearly!$D:$AM, 30, FALSE) / VLOOKUP("electricity|PM25|Work loss days", US_national_yearly!$D:$AM, 10, FALSE), 1)</f>
        <v>0.55177352644333677</v>
      </c>
      <c r="W15" s="7">
        <f>$B15 * IFERROR(VLOOKUP("electricity|PM25|Work loss days", US_national_yearly!$D:$AM, 31, FALSE) / VLOOKUP("electricity|PM25|Work loss days", US_national_yearly!$D:$AM, 10, FALSE), 1)</f>
        <v>0.55572573310007201</v>
      </c>
      <c r="X15" s="7">
        <f>$B15 * IFERROR(VLOOKUP("electricity|PM25|Work loss days", US_national_yearly!$D:$AM, 32, FALSE) / VLOOKUP("electricity|PM25|Work loss days", US_national_yearly!$D:$AM, 10, FALSE), 1)</f>
        <v>0.5592122278710342</v>
      </c>
      <c r="Y15" s="7">
        <f>$B15 * IFERROR(VLOOKUP("electricity|PM25|Work loss days", US_national_yearly!$D:$AM, 33, FALSE) / VLOOKUP("electricity|PM25|Work loss days", US_national_yearly!$D:$AM, 10, FALSE), 1)</f>
        <v>0.56269872264199616</v>
      </c>
      <c r="Z15" s="7">
        <f>$B15 * IFERROR(VLOOKUP("electricity|PM25|Work loss days", US_national_yearly!$D:$AM, 34, FALSE) / VLOOKUP("electricity|PM25|Work loss days", US_national_yearly!$D:$AM, 10, FALSE), 1)</f>
        <v>0.56618521741295824</v>
      </c>
      <c r="AA15" s="7">
        <f>$B15 * IFERROR(VLOOKUP("electricity|PM25|Work loss days", US_national_yearly!$D:$AM, 35, FALSE) / VLOOKUP("electricity|PM25|Work loss days", US_national_yearly!$D:$AM, 10, FALSE), 1)</f>
        <v>0.56967171218392043</v>
      </c>
      <c r="AB15" s="7">
        <f>$B15 * IFERROR(VLOOKUP("electricity|PM25|Work loss days", US_national_yearly!$D:$AM, 36, FALSE) / VLOOKUP("electricity|PM25|Work loss days", US_national_yearly!$D:$AM, 10, FALSE), 1)</f>
        <v>0.57315820695488251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7.3665971466207092E-4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7.5852002478088269E-4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7.8038033489969457E-4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8.0224064501850634E-4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8.2410095513731811E-4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8.4518519033299809E-4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8.6626942552867796E-4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8.8453426574439998E-4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9.0279910596012189E-4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9.2106394617584369E-4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9.3932878639156571E-4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9.5759362660728751E-4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9.6987167084309697E-4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9.8214971507890633E-4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9.9442775931471569E-4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1.0067058035505253E-3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1.0189838477863346E-3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1.0257601167890237E-3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1.0325363857917125E-3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1.0393126547944016E-3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1.0460889237970904E-3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1.0528651927997792E-3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1.0575926850277051E-3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1.0623201772556308E-3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1.0670476694835565E-3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1.0717751617114824E-3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1.0765026539394083E-3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5.1282248536391596E-5</v>
      </c>
      <c r="C2" s="7">
        <f>$B2 * IFERROR(VLOOKUP("electricity|NOx|Premature mortality", US_national_yearly!$D:$AM, 11, FALSE) / VLOOKUP("electricity|NOx|Premature mortality", US_national_yearly!$D:$AM, 10, FALSE), 1)</f>
        <v>5.2058181454692799E-5</v>
      </c>
      <c r="D2" s="7">
        <f>$B2 * IFERROR(VLOOKUP("electricity|NOx|Premature mortality", US_national_yearly!$D:$AM, 12, FALSE) / VLOOKUP("electricity|NOx|Premature mortality", US_national_yearly!$D:$AM, 10, FALSE), 1)</f>
        <v>5.2834114372994016E-5</v>
      </c>
      <c r="E2" s="7">
        <f>$B2 * IFERROR(VLOOKUP("electricity|NOx|Premature mortality", US_national_yearly!$D:$AM, 13, FALSE) / VLOOKUP("electricity|NOx|Premature mortality", US_national_yearly!$D:$AM, 10, FALSE), 1)</f>
        <v>5.3610047291295225E-5</v>
      </c>
      <c r="F2" s="7">
        <f>$B2 * IFERROR(VLOOKUP("electricity|NOx|Premature mortality", US_national_yearly!$D:$AM, 14, FALSE) / VLOOKUP("electricity|NOx|Premature mortality", US_national_yearly!$D:$AM, 10, FALSE), 1)</f>
        <v>5.4385980209596428E-5</v>
      </c>
      <c r="G2" s="7">
        <f>$B2 * IFERROR(VLOOKUP("electricity|NOx|Premature mortality", US_national_yearly!$D:$AM, 15, FALSE) / VLOOKUP("electricity|NOx|Premature mortality", US_national_yearly!$D:$AM, 10, FALSE), 1)</f>
        <v>5.577208217113135E-5</v>
      </c>
      <c r="H2" s="7">
        <f>$B2 * IFERROR(VLOOKUP("electricity|NOx|Premature mortality", US_national_yearly!$D:$AM, 16, FALSE) / VLOOKUP("electricity|NOx|Premature mortality", US_national_yearly!$D:$AM, 10, FALSE), 1)</f>
        <v>5.7158184132666265E-5</v>
      </c>
      <c r="I2" s="7">
        <f>$B2 * IFERROR(VLOOKUP("electricity|NOx|Premature mortality", US_national_yearly!$D:$AM, 17, FALSE) / VLOOKUP("electricity|NOx|Premature mortality", US_national_yearly!$D:$AM, 10, FALSE), 1)</f>
        <v>5.8079305819970426E-5</v>
      </c>
      <c r="J2" s="7">
        <f>$B2 * IFERROR(VLOOKUP("electricity|NOx|Premature mortality", US_national_yearly!$D:$AM, 18, FALSE) / VLOOKUP("electricity|NOx|Premature mortality", US_national_yearly!$D:$AM, 10, FALSE), 1)</f>
        <v>5.9000427507274601E-5</v>
      </c>
      <c r="K2" s="7">
        <f>$B2 * IFERROR(VLOOKUP("electricity|NOx|Premature mortality", US_national_yearly!$D:$AM, 19, FALSE) / VLOOKUP("electricity|NOx|Premature mortality", US_national_yearly!$D:$AM, 10, FALSE), 1)</f>
        <v>5.9921549194578762E-5</v>
      </c>
      <c r="L2" s="7">
        <f>$B2 * IFERROR(VLOOKUP("electricity|NOx|Premature mortality", US_national_yearly!$D:$AM, 20, FALSE) / VLOOKUP("electricity|NOx|Premature mortality", US_national_yearly!$D:$AM, 10, FALSE), 1)</f>
        <v>6.0842670881882923E-5</v>
      </c>
      <c r="M2" s="7">
        <f>$B2 * IFERROR(VLOOKUP("electricity|NOx|Premature mortality", US_national_yearly!$D:$AM, 21, FALSE) / VLOOKUP("electricity|NOx|Premature mortality", US_national_yearly!$D:$AM, 10, FALSE), 1)</f>
        <v>6.1763792569187077E-5</v>
      </c>
      <c r="N2" s="7">
        <f>$B2 * IFERROR(VLOOKUP("electricity|NOx|Premature mortality", US_national_yearly!$D:$AM, 22, FALSE) / VLOOKUP("electricity|NOx|Premature mortality", US_national_yearly!$D:$AM, 10, FALSE), 1)</f>
        <v>6.2474544437109841E-5</v>
      </c>
      <c r="O2" s="7">
        <f>$B2 * IFERROR(VLOOKUP("electricity|NOx|Premature mortality", US_national_yearly!$D:$AM, 23, FALSE) / VLOOKUP("electricity|NOx|Premature mortality", US_national_yearly!$D:$AM, 10, FALSE), 1)</f>
        <v>6.3185296305032633E-5</v>
      </c>
      <c r="P2" s="7">
        <f>$B2 * IFERROR(VLOOKUP("electricity|NOx|Premature mortality", US_national_yearly!$D:$AM, 24, FALSE) / VLOOKUP("electricity|NOx|Premature mortality", US_national_yearly!$D:$AM, 10, FALSE), 1)</f>
        <v>6.3896048172955397E-5</v>
      </c>
      <c r="Q2" s="7">
        <f>$B2 * IFERROR(VLOOKUP("electricity|NOx|Premature mortality", US_national_yearly!$D:$AM, 25, FALSE) / VLOOKUP("electricity|NOx|Premature mortality", US_national_yearly!$D:$AM, 10, FALSE), 1)</f>
        <v>6.4606800040878175E-5</v>
      </c>
      <c r="R2" s="7">
        <f>$B2 * IFERROR(VLOOKUP("electricity|NOx|Premature mortality", US_national_yearly!$D:$AM, 26, FALSE) / VLOOKUP("electricity|NOx|Premature mortality", US_national_yearly!$D:$AM, 10, FALSE), 1)</f>
        <v>6.531755190880094E-5</v>
      </c>
      <c r="S2" s="7">
        <f>$B2 * IFERROR(VLOOKUP("electricity|NOx|Premature mortality", US_national_yearly!$D:$AM, 27, FALSE) / VLOOKUP("electricity|NOx|Premature mortality", US_national_yearly!$D:$AM, 10, FALSE), 1)</f>
        <v>6.5684827158638665E-5</v>
      </c>
      <c r="T2" s="7">
        <f>$B2 * IFERROR(VLOOKUP("electricity|NOx|Premature mortality", US_national_yearly!$D:$AM, 28, FALSE) / VLOOKUP("electricity|NOx|Premature mortality", US_national_yearly!$D:$AM, 10, FALSE), 1)</f>
        <v>6.6052102408476404E-5</v>
      </c>
      <c r="U2" s="7">
        <f>$B2 * IFERROR(VLOOKUP("electricity|NOx|Premature mortality", US_national_yearly!$D:$AM, 29, FALSE) / VLOOKUP("electricity|NOx|Premature mortality", US_national_yearly!$D:$AM, 10, FALSE), 1)</f>
        <v>6.6419377658314156E-5</v>
      </c>
      <c r="V2" s="7">
        <f>$B2 * IFERROR(VLOOKUP("electricity|NOx|Premature mortality", US_national_yearly!$D:$AM, 30, FALSE) / VLOOKUP("electricity|NOx|Premature mortality", US_national_yearly!$D:$AM, 10, FALSE), 1)</f>
        <v>6.6786652908151894E-5</v>
      </c>
      <c r="W2" s="7">
        <f>$B2 * IFERROR(VLOOKUP("electricity|NOx|Premature mortality", US_national_yearly!$D:$AM, 31, FALSE) / VLOOKUP("electricity|NOx|Premature mortality", US_national_yearly!$D:$AM, 10, FALSE), 1)</f>
        <v>6.7153928157989633E-5</v>
      </c>
      <c r="X2" s="7">
        <f>$B2 * IFERROR(VLOOKUP("electricity|NOx|Premature mortality", US_national_yearly!$D:$AM, 32, FALSE) / VLOOKUP("electricity|NOx|Premature mortality", US_national_yearly!$D:$AM, 10, FALSE), 1)</f>
        <v>6.7237017229370512E-5</v>
      </c>
      <c r="Y2" s="7">
        <f>$B2 * IFERROR(VLOOKUP("electricity|NOx|Premature mortality", US_national_yearly!$D:$AM, 33, FALSE) / VLOOKUP("electricity|NOx|Premature mortality", US_national_yearly!$D:$AM, 10, FALSE), 1)</f>
        <v>6.7320106300751404E-5</v>
      </c>
      <c r="Z2" s="7">
        <f>$B2 * IFERROR(VLOOKUP("electricity|NOx|Premature mortality", US_national_yearly!$D:$AM, 34, FALSE) / VLOOKUP("electricity|NOx|Premature mortality", US_national_yearly!$D:$AM, 10, FALSE), 1)</f>
        <v>6.7403195372132282E-5</v>
      </c>
      <c r="AA2" s="7">
        <f>$B2 * IFERROR(VLOOKUP("electricity|NOx|Premature mortality", US_national_yearly!$D:$AM, 35, FALSE) / VLOOKUP("electricity|NOx|Premature mortality", US_national_yearly!$D:$AM, 10, FALSE), 1)</f>
        <v>6.7486284443513161E-5</v>
      </c>
      <c r="AB2" s="7">
        <f>$B2 * IFERROR(VLOOKUP("electricity|NOx|Premature mortality", US_national_yearly!$D:$AM, 36, FALSE) / VLOOKUP("electricity|NOx|Premature mortality", US_national_yearly!$D:$AM, 10, FALSE), 1)</f>
        <v>6.7569373514894053E-5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1.1587189828210241E-7</v>
      </c>
      <c r="C3" s="7">
        <f>$B3 * IFERROR(VLOOKUP("electricity|NOx|Infant mortality", US_national_yearly!$D:$AM, 11, FALSE) / VLOOKUP("electricity|NOx|Infant mortality", US_national_yearly!$D:$AM, 10, FALSE), 1)</f>
        <v>1.1478785047008995E-7</v>
      </c>
      <c r="D3" s="7">
        <f>$B3 * IFERROR(VLOOKUP("electricity|NOx|Infant mortality", US_national_yearly!$D:$AM, 12, FALSE) / VLOOKUP("electricity|NOx|Infant mortality", US_national_yearly!$D:$AM, 10, FALSE), 1)</f>
        <v>1.1370380265807747E-7</v>
      </c>
      <c r="E3" s="7">
        <f>$B3 * IFERROR(VLOOKUP("electricity|NOx|Infant mortality", US_national_yearly!$D:$AM, 13, FALSE) / VLOOKUP("electricity|NOx|Infant mortality", US_national_yearly!$D:$AM, 10, FALSE), 1)</f>
        <v>1.1261975484606501E-7</v>
      </c>
      <c r="F3" s="7">
        <f>$B3 * IFERROR(VLOOKUP("electricity|NOx|Infant mortality", US_national_yearly!$D:$AM, 14, FALSE) / VLOOKUP("electricity|NOx|Infant mortality", US_national_yearly!$D:$AM, 10, FALSE), 1)</f>
        <v>1.1153570703405252E-7</v>
      </c>
      <c r="G3" s="7">
        <f>$B3 * IFERROR(VLOOKUP("electricity|NOx|Infant mortality", US_national_yearly!$D:$AM, 15, FALSE) / VLOOKUP("electricity|NOx|Infant mortality", US_national_yearly!$D:$AM, 10, FALSE), 1)</f>
        <v>7.389793179214666E-8</v>
      </c>
      <c r="H3" s="7">
        <f>$B3 * IFERROR(VLOOKUP("electricity|NOx|Infant mortality", US_national_yearly!$D:$AM, 16, FALSE) / VLOOKUP("electricity|NOx|Infant mortality", US_national_yearly!$D:$AM, 10, FALSE), 1)</f>
        <v>3.6260156550240807E-8</v>
      </c>
      <c r="I3" s="7">
        <f>$B3 * IFERROR(VLOOKUP("electricity|NOx|Infant mortality", US_national_yearly!$D:$AM, 17, FALSE) / VLOOKUP("electricity|NOx|Infant mortality", US_national_yearly!$D:$AM, 10, FALSE), 1)</f>
        <v>3.5996452877147972E-8</v>
      </c>
      <c r="J3" s="7">
        <f>$B3 * IFERROR(VLOOKUP("electricity|NOx|Infant mortality", US_national_yearly!$D:$AM, 18, FALSE) / VLOOKUP("electricity|NOx|Infant mortality", US_national_yearly!$D:$AM, 10, FALSE), 1)</f>
        <v>3.5732749204055136E-8</v>
      </c>
      <c r="K3" s="7">
        <f>$B3 * IFERROR(VLOOKUP("electricity|NOx|Infant mortality", US_national_yearly!$D:$AM, 19, FALSE) / VLOOKUP("electricity|NOx|Infant mortality", US_national_yearly!$D:$AM, 10, FALSE), 1)</f>
        <v>3.5469045530962295E-8</v>
      </c>
      <c r="L3" s="7">
        <f>$B3 * IFERROR(VLOOKUP("electricity|NOx|Infant mortality", US_national_yearly!$D:$AM, 20, FALSE) / VLOOKUP("electricity|NOx|Infant mortality", US_national_yearly!$D:$AM, 10, FALSE), 1)</f>
        <v>3.5205341857869459E-8</v>
      </c>
      <c r="M3" s="7">
        <f>$B3 * IFERROR(VLOOKUP("electricity|NOx|Infant mortality", US_national_yearly!$D:$AM, 21, FALSE) / VLOOKUP("electricity|NOx|Infant mortality", US_national_yearly!$D:$AM, 10, FALSE), 1)</f>
        <v>3.4941638184776618E-8</v>
      </c>
      <c r="N3" s="7">
        <f>$B3 * IFERROR(VLOOKUP("electricity|NOx|Infant mortality", US_national_yearly!$D:$AM, 22, FALSE) / VLOOKUP("electricity|NOx|Infant mortality", US_national_yearly!$D:$AM, 10, FALSE), 1)</f>
        <v>3.4764559274003289E-8</v>
      </c>
      <c r="O3" s="7">
        <f>$B3 * IFERROR(VLOOKUP("electricity|NOx|Infant mortality", US_national_yearly!$D:$AM, 23, FALSE) / VLOOKUP("electricity|NOx|Infant mortality", US_national_yearly!$D:$AM, 10, FALSE), 1)</f>
        <v>3.4587480363229961E-8</v>
      </c>
      <c r="P3" s="7">
        <f>$B3 * IFERROR(VLOOKUP("electricity|NOx|Infant mortality", US_national_yearly!$D:$AM, 24, FALSE) / VLOOKUP("electricity|NOx|Infant mortality", US_national_yearly!$D:$AM, 10, FALSE), 1)</f>
        <v>3.4410401452456625E-8</v>
      </c>
      <c r="Q3" s="7">
        <f>$B3 * IFERROR(VLOOKUP("electricity|NOx|Infant mortality", US_national_yearly!$D:$AM, 25, FALSE) / VLOOKUP("electricity|NOx|Infant mortality", US_national_yearly!$D:$AM, 10, FALSE), 1)</f>
        <v>3.423332254168329E-8</v>
      </c>
      <c r="R3" s="7">
        <f>$B3 * IFERROR(VLOOKUP("electricity|NOx|Infant mortality", US_national_yearly!$D:$AM, 26, FALSE) / VLOOKUP("electricity|NOx|Infant mortality", US_national_yearly!$D:$AM, 10, FALSE), 1)</f>
        <v>3.4056243630909962E-8</v>
      </c>
      <c r="S3" s="7">
        <f>$B3 * IFERROR(VLOOKUP("electricity|NOx|Infant mortality", US_national_yearly!$D:$AM, 27, FALSE) / VLOOKUP("electricity|NOx|Infant mortality", US_national_yearly!$D:$AM, 10, FALSE), 1)</f>
        <v>3.384602012650859E-8</v>
      </c>
      <c r="T3" s="7">
        <f>$B3 * IFERROR(VLOOKUP("electricity|NOx|Infant mortality", US_national_yearly!$D:$AM, 28, FALSE) / VLOOKUP("electricity|NOx|Infant mortality", US_national_yearly!$D:$AM, 10, FALSE), 1)</f>
        <v>3.3635796622107218E-8</v>
      </c>
      <c r="U3" s="7">
        <f>$B3 * IFERROR(VLOOKUP("electricity|NOx|Infant mortality", US_national_yearly!$D:$AM, 29, FALSE) / VLOOKUP("electricity|NOx|Infant mortality", US_national_yearly!$D:$AM, 10, FALSE), 1)</f>
        <v>3.3425573117705853E-8</v>
      </c>
      <c r="V3" s="7">
        <f>$B3 * IFERROR(VLOOKUP("electricity|NOx|Infant mortality", US_national_yearly!$D:$AM, 30, FALSE) / VLOOKUP("electricity|NOx|Infant mortality", US_national_yearly!$D:$AM, 10, FALSE), 1)</f>
        <v>3.3215349613304488E-8</v>
      </c>
      <c r="W3" s="7">
        <f>$B3 * IFERROR(VLOOKUP("electricity|NOx|Infant mortality", US_national_yearly!$D:$AM, 31, FALSE) / VLOOKUP("electricity|NOx|Infant mortality", US_national_yearly!$D:$AM, 10, FALSE), 1)</f>
        <v>3.3005126108903116E-8</v>
      </c>
      <c r="X3" s="7">
        <f>$B3 * IFERROR(VLOOKUP("electricity|NOx|Infant mortality", US_national_yearly!$D:$AM, 32, FALSE) / VLOOKUP("electricity|NOx|Infant mortality", US_national_yearly!$D:$AM, 10, FALSE), 1)</f>
        <v>3.278866435400379E-8</v>
      </c>
      <c r="Y3" s="7">
        <f>$B3 * IFERROR(VLOOKUP("electricity|NOx|Infant mortality", US_national_yearly!$D:$AM, 33, FALSE) / VLOOKUP("electricity|NOx|Infant mortality", US_national_yearly!$D:$AM, 10, FALSE), 1)</f>
        <v>3.2572202599104472E-8</v>
      </c>
      <c r="Z3" s="7">
        <f>$B3 * IFERROR(VLOOKUP("electricity|NOx|Infant mortality", US_national_yearly!$D:$AM, 34, FALSE) / VLOOKUP("electricity|NOx|Infant mortality", US_national_yearly!$D:$AM, 10, FALSE), 1)</f>
        <v>3.2355740844205146E-8</v>
      </c>
      <c r="AA3" s="7">
        <f>$B3 * IFERROR(VLOOKUP("electricity|NOx|Infant mortality", US_national_yearly!$D:$AM, 35, FALSE) / VLOOKUP("electricity|NOx|Infant mortality", US_national_yearly!$D:$AM, 10, FALSE), 1)</f>
        <v>3.2139279089305827E-8</v>
      </c>
      <c r="AB3" s="7">
        <f>$B3 * IFERROR(VLOOKUP("electricity|NOx|Infant mortality", US_national_yearly!$D:$AM, 36, FALSE) / VLOOKUP("electricity|NOx|Infant mortality", US_national_yearly!$D:$AM, 10, FALSE), 1)</f>
        <v>3.1922817334406495E-8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1.2468084376167853E-4</v>
      </c>
      <c r="C6" s="7">
        <f>$B6 * IFERROR(VLOOKUP("electricity|NOx|Asthma symptoms cough", US_national_yearly!$D:$AM, 11, FALSE) / VLOOKUP("electricity|NOx|Asthma symptoms cough", US_national_yearly!$D:$AM, 10, FALSE), 1)</f>
        <v>1.2639255351980976E-4</v>
      </c>
      <c r="D6" s="7">
        <f>$B6 * IFERROR(VLOOKUP("electricity|NOx|Asthma symptoms cough", US_national_yearly!$D:$AM, 12, FALSE) / VLOOKUP("electricity|NOx|Asthma symptoms cough", US_national_yearly!$D:$AM, 10, FALSE), 1)</f>
        <v>1.2810426327794101E-4</v>
      </c>
      <c r="E6" s="7">
        <f>$B6 * IFERROR(VLOOKUP("electricity|NOx|Asthma symptoms cough", US_national_yearly!$D:$AM, 13, FALSE) / VLOOKUP("electricity|NOx|Asthma symptoms cough", US_national_yearly!$D:$AM, 10, FALSE), 1)</f>
        <v>1.2981597303607224E-4</v>
      </c>
      <c r="F6" s="7">
        <f>$B6 * IFERROR(VLOOKUP("electricity|NOx|Asthma symptoms cough", US_national_yearly!$D:$AM, 14, FALSE) / VLOOKUP("electricity|NOx|Asthma symptoms cough", US_national_yearly!$D:$AM, 10, FALSE), 1)</f>
        <v>1.3152768279420349E-4</v>
      </c>
      <c r="G6" s="7">
        <f>$B6 * IFERROR(VLOOKUP("electricity|NOx|Asthma symptoms cough", US_national_yearly!$D:$AM, 15, FALSE) / VLOOKUP("electricity|NOx|Asthma symptoms cough", US_national_yearly!$D:$AM, 10, FALSE), 1)</f>
        <v>1.3291939358625076E-4</v>
      </c>
      <c r="H6" s="7">
        <f>$B6 * IFERROR(VLOOKUP("electricity|NOx|Asthma symptoms cough", US_national_yearly!$D:$AM, 16, FALSE) / VLOOKUP("electricity|NOx|Asthma symptoms cough", US_national_yearly!$D:$AM, 10, FALSE), 1)</f>
        <v>1.3431110437829802E-4</v>
      </c>
      <c r="I6" s="7">
        <f>$B6 * IFERROR(VLOOKUP("electricity|NOx|Asthma symptoms cough", US_national_yearly!$D:$AM, 17, FALSE) / VLOOKUP("electricity|NOx|Asthma symptoms cough", US_national_yearly!$D:$AM, 10, FALSE), 1)</f>
        <v>1.3482845622384842E-4</v>
      </c>
      <c r="J6" s="7">
        <f>$B6 * IFERROR(VLOOKUP("electricity|NOx|Asthma symptoms cough", US_national_yearly!$D:$AM, 18, FALSE) / VLOOKUP("electricity|NOx|Asthma symptoms cough", US_national_yearly!$D:$AM, 10, FALSE), 1)</f>
        <v>1.3534580806939884E-4</v>
      </c>
      <c r="K6" s="7">
        <f>$B6 * IFERROR(VLOOKUP("electricity|NOx|Asthma symptoms cough", US_national_yearly!$D:$AM, 19, FALSE) / VLOOKUP("electricity|NOx|Asthma symptoms cough", US_national_yearly!$D:$AM, 10, FALSE), 1)</f>
        <v>1.3586315991494927E-4</v>
      </c>
      <c r="L6" s="7">
        <f>$B6 * IFERROR(VLOOKUP("electricity|NOx|Asthma symptoms cough", US_national_yearly!$D:$AM, 20, FALSE) / VLOOKUP("electricity|NOx|Asthma symptoms cough", US_national_yearly!$D:$AM, 10, FALSE), 1)</f>
        <v>1.3638051176049969E-4</v>
      </c>
      <c r="M6" s="7">
        <f>$B6 * IFERROR(VLOOKUP("electricity|NOx|Asthma symptoms cough", US_national_yearly!$D:$AM, 21, FALSE) / VLOOKUP("electricity|NOx|Asthma symptoms cough", US_national_yearly!$D:$AM, 10, FALSE), 1)</f>
        <v>1.3689786360605014E-4</v>
      </c>
      <c r="N6" s="7">
        <f>$B6 * IFERROR(VLOOKUP("electricity|NOx|Asthma symptoms cough", US_national_yearly!$D:$AM, 22, FALSE) / VLOOKUP("electricity|NOx|Asthma symptoms cough", US_national_yearly!$D:$AM, 10, FALSE), 1)</f>
        <v>1.3747108514162407E-4</v>
      </c>
      <c r="O6" s="7">
        <f>$B6 * IFERROR(VLOOKUP("electricity|NOx|Asthma symptoms cough", US_national_yearly!$D:$AM, 23, FALSE) / VLOOKUP("electricity|NOx|Asthma symptoms cough", US_national_yearly!$D:$AM, 10, FALSE), 1)</f>
        <v>1.3804430667719802E-4</v>
      </c>
      <c r="P6" s="7">
        <f>$B6 * IFERROR(VLOOKUP("electricity|NOx|Asthma symptoms cough", US_national_yearly!$D:$AM, 24, FALSE) / VLOOKUP("electricity|NOx|Asthma symptoms cough", US_national_yearly!$D:$AM, 10, FALSE), 1)</f>
        <v>1.3861752821277195E-4</v>
      </c>
      <c r="Q6" s="7">
        <f>$B6 * IFERROR(VLOOKUP("electricity|NOx|Asthma symptoms cough", US_national_yearly!$D:$AM, 25, FALSE) / VLOOKUP("electricity|NOx|Asthma symptoms cough", US_national_yearly!$D:$AM, 10, FALSE), 1)</f>
        <v>1.391907497483459E-4</v>
      </c>
      <c r="R6" s="7">
        <f>$B6 * IFERROR(VLOOKUP("electricity|NOx|Asthma symptoms cough", US_national_yearly!$D:$AM, 26, FALSE) / VLOOKUP("electricity|NOx|Asthma symptoms cough", US_national_yearly!$D:$AM, 10, FALSE), 1)</f>
        <v>1.3976397128391983E-4</v>
      </c>
      <c r="S6" s="7">
        <f>$B6 * IFERROR(VLOOKUP("electricity|NOx|Asthma symptoms cough", US_national_yearly!$D:$AM, 27, FALSE) / VLOOKUP("electricity|NOx|Asthma symptoms cough", US_national_yearly!$D:$AM, 10, FALSE), 1)</f>
        <v>1.4047911793631552E-4</v>
      </c>
      <c r="T6" s="7">
        <f>$B6 * IFERROR(VLOOKUP("electricity|NOx|Asthma symptoms cough", US_national_yearly!$D:$AM, 28, FALSE) / VLOOKUP("electricity|NOx|Asthma symptoms cough", US_national_yearly!$D:$AM, 10, FALSE), 1)</f>
        <v>1.4119426458871119E-4</v>
      </c>
      <c r="U6" s="7">
        <f>$B6 * IFERROR(VLOOKUP("electricity|NOx|Asthma symptoms cough", US_national_yearly!$D:$AM, 29, FALSE) / VLOOKUP("electricity|NOx|Asthma symptoms cough", US_national_yearly!$D:$AM, 10, FALSE), 1)</f>
        <v>1.4190941124110694E-4</v>
      </c>
      <c r="V6" s="7">
        <f>$B6 * IFERROR(VLOOKUP("electricity|NOx|Asthma symptoms cough", US_national_yearly!$D:$AM, 30, FALSE) / VLOOKUP("electricity|NOx|Asthma symptoms cough", US_national_yearly!$D:$AM, 10, FALSE), 1)</f>
        <v>1.426245578935026E-4</v>
      </c>
      <c r="W6" s="7">
        <f>$B6 * IFERROR(VLOOKUP("electricity|NOx|Asthma symptoms cough", US_national_yearly!$D:$AM, 31, FALSE) / VLOOKUP("electricity|NOx|Asthma symptoms cough", US_national_yearly!$D:$AM, 10, FALSE), 1)</f>
        <v>1.433397045458983E-4</v>
      </c>
      <c r="X6" s="7">
        <f>$B6 * IFERROR(VLOOKUP("electricity|NOx|Asthma symptoms cough", US_national_yearly!$D:$AM, 32, FALSE) / VLOOKUP("electricity|NOx|Asthma symptoms cough", US_national_yearly!$D:$AM, 10, FALSE), 1)</f>
        <v>1.4399857393047929E-4</v>
      </c>
      <c r="Y6" s="7">
        <f>$B6 * IFERROR(VLOOKUP("electricity|NOx|Asthma symptoms cough", US_national_yearly!$D:$AM, 33, FALSE) / VLOOKUP("electricity|NOx|Asthma symptoms cough", US_national_yearly!$D:$AM, 10, FALSE), 1)</f>
        <v>1.446574433150603E-4</v>
      </c>
      <c r="Z6" s="7">
        <f>$B6 * IFERROR(VLOOKUP("electricity|NOx|Asthma symptoms cough", US_national_yearly!$D:$AM, 34, FALSE) / VLOOKUP("electricity|NOx|Asthma symptoms cough", US_national_yearly!$D:$AM, 10, FALSE), 1)</f>
        <v>1.4531631269964134E-4</v>
      </c>
      <c r="AA6" s="7">
        <f>$B6 * IFERROR(VLOOKUP("electricity|NOx|Asthma symptoms cough", US_national_yearly!$D:$AM, 35, FALSE) / VLOOKUP("electricity|NOx|Asthma symptoms cough", US_national_yearly!$D:$AM, 10, FALSE), 1)</f>
        <v>1.4597518208422233E-4</v>
      </c>
      <c r="AB6" s="7">
        <f>$B6 * IFERROR(VLOOKUP("electricity|NOx|Asthma symptoms cough", US_national_yearly!$D:$AM, 36, FALSE) / VLOOKUP("electricity|NOx|Asthma symptoms cough", US_national_yearly!$D:$AM, 10, FALSE), 1)</f>
        <v>1.4663405146880335E-4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1.6790103892264316E-4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1.7020610710727542E-4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1.725111752919077E-4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1.7481624347653993E-4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1.7712131166117218E-4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1.7899545431277115E-4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1.8086959696437009E-4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1.8156628708057459E-4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1.8226297719677902E-4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1.829596673129835E-4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1.8365635742918795E-4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1.8435304754539243E-4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1.8512497439249011E-4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1.8589690123958788E-4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1.8666882808668559E-4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1.8744075493378333E-4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1.8821268178088104E-4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1.8917573161023114E-4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1.9013878143958122E-4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1.9110183126893132E-4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1.9206488109828139E-4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1.9302793092763152E-4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1.9391519516340314E-4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1.9480245939917481E-4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1.9568972363494643E-4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1.9657698787071807E-4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1.9746425210648974E-4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2.56523652594693E-4</v>
      </c>
      <c r="C8" s="7">
        <f>$B8 * IFERROR(VLOOKUP("electricity|NOx|Asthma symptoms wheeze", US_national_yearly!$D:$AM, 11, FALSE) / VLOOKUP("electricity|NOx|Asthma symptoms wheeze", US_national_yearly!$D:$AM, 10, FALSE), 1)</f>
        <v>2.6004539680155085E-4</v>
      </c>
      <c r="D8" s="7">
        <f>$B8 * IFERROR(VLOOKUP("electricity|NOx|Asthma symptoms wheeze", US_national_yearly!$D:$AM, 12, FALSE) / VLOOKUP("electricity|NOx|Asthma symptoms wheeze", US_national_yearly!$D:$AM, 10, FALSE), 1)</f>
        <v>2.635671410084087E-4</v>
      </c>
      <c r="E8" s="7">
        <f>$B8 * IFERROR(VLOOKUP("electricity|NOx|Asthma symptoms wheeze", US_national_yearly!$D:$AM, 13, FALSE) / VLOOKUP("electricity|NOx|Asthma symptoms wheeze", US_national_yearly!$D:$AM, 10, FALSE), 1)</f>
        <v>2.6708888521526655E-4</v>
      </c>
      <c r="F8" s="7">
        <f>$B8 * IFERROR(VLOOKUP("electricity|NOx|Asthma symptoms wheeze", US_national_yearly!$D:$AM, 14, FALSE) / VLOOKUP("electricity|NOx|Asthma symptoms wheeze", US_national_yearly!$D:$AM, 10, FALSE), 1)</f>
        <v>2.7061062942212446E-4</v>
      </c>
      <c r="G8" s="7">
        <f>$B8 * IFERROR(VLOOKUP("electricity|NOx|Asthma symptoms wheeze", US_national_yearly!$D:$AM, 15, FALSE) / VLOOKUP("electricity|NOx|Asthma symptoms wheeze", US_national_yearly!$D:$AM, 10, FALSE), 1)</f>
        <v>2.7347399419243269E-4</v>
      </c>
      <c r="H8" s="7">
        <f>$B8 * IFERROR(VLOOKUP("electricity|NOx|Asthma symptoms wheeze", US_national_yearly!$D:$AM, 16, FALSE) / VLOOKUP("electricity|NOx|Asthma symptoms wheeze", US_national_yearly!$D:$AM, 10, FALSE), 1)</f>
        <v>2.7633735896274097E-4</v>
      </c>
      <c r="I8" s="7">
        <f>$B8 * IFERROR(VLOOKUP("electricity|NOx|Asthma symptoms wheeze", US_national_yearly!$D:$AM, 17, FALSE) / VLOOKUP("electricity|NOx|Asthma symptoms wheeze", US_national_yearly!$D:$AM, 10, FALSE), 1)</f>
        <v>2.774017805759352E-4</v>
      </c>
      <c r="J8" s="7">
        <f>$B8 * IFERROR(VLOOKUP("electricity|NOx|Asthma symptoms wheeze", US_national_yearly!$D:$AM, 18, FALSE) / VLOOKUP("electricity|NOx|Asthma symptoms wheeze", US_national_yearly!$D:$AM, 10, FALSE), 1)</f>
        <v>2.7846620218912937E-4</v>
      </c>
      <c r="K8" s="7">
        <f>$B8 * IFERROR(VLOOKUP("electricity|NOx|Asthma symptoms wheeze", US_national_yearly!$D:$AM, 19, FALSE) / VLOOKUP("electricity|NOx|Asthma symptoms wheeze", US_national_yearly!$D:$AM, 10, FALSE), 1)</f>
        <v>2.7953062380232371E-4</v>
      </c>
      <c r="L8" s="7">
        <f>$B8 * IFERROR(VLOOKUP("electricity|NOx|Asthma symptoms wheeze", US_national_yearly!$D:$AM, 20, FALSE) / VLOOKUP("electricity|NOx|Asthma symptoms wheeze", US_national_yearly!$D:$AM, 10, FALSE), 1)</f>
        <v>2.8059504541551794E-4</v>
      </c>
      <c r="M8" s="7">
        <f>$B8 * IFERROR(VLOOKUP("electricity|NOx|Asthma symptoms wheeze", US_national_yearly!$D:$AM, 21, FALSE) / VLOOKUP("electricity|NOx|Asthma symptoms wheeze", US_national_yearly!$D:$AM, 10, FALSE), 1)</f>
        <v>2.8165946702871211E-4</v>
      </c>
      <c r="N8" s="7">
        <f>$B8 * IFERROR(VLOOKUP("electricity|NOx|Asthma symptoms wheeze", US_national_yearly!$D:$AM, 22, FALSE) / VLOOKUP("electricity|NOx|Asthma symptoms wheeze", US_national_yearly!$D:$AM, 10, FALSE), 1)</f>
        <v>2.8283883731013636E-4</v>
      </c>
      <c r="O8" s="7">
        <f>$B8 * IFERROR(VLOOKUP("electricity|NOx|Asthma symptoms wheeze", US_national_yearly!$D:$AM, 23, FALSE) / VLOOKUP("electricity|NOx|Asthma symptoms wheeze", US_national_yearly!$D:$AM, 10, FALSE), 1)</f>
        <v>2.8401820759156067E-4</v>
      </c>
      <c r="P8" s="7">
        <f>$B8 * IFERROR(VLOOKUP("electricity|NOx|Asthma symptoms wheeze", US_national_yearly!$D:$AM, 24, FALSE) / VLOOKUP("electricity|NOx|Asthma symptoms wheeze", US_national_yearly!$D:$AM, 10, FALSE), 1)</f>
        <v>2.8519757787298492E-4</v>
      </c>
      <c r="Q8" s="7">
        <f>$B8 * IFERROR(VLOOKUP("electricity|NOx|Asthma symptoms wheeze", US_national_yearly!$D:$AM, 25, FALSE) / VLOOKUP("electricity|NOx|Asthma symptoms wheeze", US_national_yearly!$D:$AM, 10, FALSE), 1)</f>
        <v>2.8637694815440918E-4</v>
      </c>
      <c r="R8" s="7">
        <f>$B8 * IFERROR(VLOOKUP("electricity|NOx|Asthma symptoms wheeze", US_national_yearly!$D:$AM, 26, FALSE) / VLOOKUP("electricity|NOx|Asthma symptoms wheeze", US_national_yearly!$D:$AM, 10, FALSE), 1)</f>
        <v>2.8755631843583343E-4</v>
      </c>
      <c r="S8" s="7">
        <f>$B8 * IFERROR(VLOOKUP("electricity|NOx|Asthma symptoms wheeze", US_national_yearly!$D:$AM, 27, FALSE) / VLOOKUP("electricity|NOx|Asthma symptoms wheeze", US_national_yearly!$D:$AM, 10, FALSE), 1)</f>
        <v>2.8902769146807683E-4</v>
      </c>
      <c r="T8" s="7">
        <f>$B8 * IFERROR(VLOOKUP("electricity|NOx|Asthma symptoms wheeze", US_national_yearly!$D:$AM, 28, FALSE) / VLOOKUP("electricity|NOx|Asthma symptoms wheeze", US_national_yearly!$D:$AM, 10, FALSE), 1)</f>
        <v>2.9049906450032023E-4</v>
      </c>
      <c r="U8" s="7">
        <f>$B8 * IFERROR(VLOOKUP("electricity|NOx|Asthma symptoms wheeze", US_national_yearly!$D:$AM, 29, FALSE) / VLOOKUP("electricity|NOx|Asthma symptoms wheeze", US_national_yearly!$D:$AM, 10, FALSE), 1)</f>
        <v>2.9197043753256358E-4</v>
      </c>
      <c r="V8" s="7">
        <f>$B8 * IFERROR(VLOOKUP("electricity|NOx|Asthma symptoms wheeze", US_national_yearly!$D:$AM, 30, FALSE) / VLOOKUP("electricity|NOx|Asthma symptoms wheeze", US_national_yearly!$D:$AM, 10, FALSE), 1)</f>
        <v>2.9344181056480698E-4</v>
      </c>
      <c r="W8" s="7">
        <f>$B8 * IFERROR(VLOOKUP("electricity|NOx|Asthma symptoms wheeze", US_national_yearly!$D:$AM, 31, FALSE) / VLOOKUP("electricity|NOx|Asthma symptoms wheeze", US_national_yearly!$D:$AM, 10, FALSE), 1)</f>
        <v>2.9491318359705043E-4</v>
      </c>
      <c r="X8" s="7">
        <f>$B8 * IFERROR(VLOOKUP("electricity|NOx|Asthma symptoms wheeze", US_national_yearly!$D:$AM, 32, FALSE) / VLOOKUP("electricity|NOx|Asthma symptoms wheeze", US_national_yearly!$D:$AM, 10, FALSE), 1)</f>
        <v>2.9626876939310357E-4</v>
      </c>
      <c r="Y8" s="7">
        <f>$B8 * IFERROR(VLOOKUP("electricity|NOx|Asthma symptoms wheeze", US_national_yearly!$D:$AM, 33, FALSE) / VLOOKUP("electricity|NOx|Asthma symptoms wheeze", US_national_yearly!$D:$AM, 10, FALSE), 1)</f>
        <v>2.9762435518915675E-4</v>
      </c>
      <c r="Z8" s="7">
        <f>$B8 * IFERROR(VLOOKUP("electricity|NOx|Asthma symptoms wheeze", US_national_yearly!$D:$AM, 34, FALSE) / VLOOKUP("electricity|NOx|Asthma symptoms wheeze", US_national_yearly!$D:$AM, 10, FALSE), 1)</f>
        <v>2.9897994098520983E-4</v>
      </c>
      <c r="AA8" s="7">
        <f>$B8 * IFERROR(VLOOKUP("electricity|NOx|Asthma symptoms wheeze", US_national_yearly!$D:$AM, 35, FALSE) / VLOOKUP("electricity|NOx|Asthma symptoms wheeze", US_national_yearly!$D:$AM, 10, FALSE), 1)</f>
        <v>3.0033552678126302E-4</v>
      </c>
      <c r="AB8" s="7">
        <f>$B8 * IFERROR(VLOOKUP("electricity|NOx|Asthma symptoms wheeze", US_national_yearly!$D:$AM, 36, FALSE) / VLOOKUP("electricity|NOx|Asthma symptoms wheeze", US_national_yearly!$D:$AM, 10, FALSE), 1)</f>
        <v>3.0169111257731616E-4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3.6425847526674194E-6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3.7358774321636819E-6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3.8291701116599448E-6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3.9224627911562076E-6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4.0157554706524688E-6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4.1055640683183377E-6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4.1953726659842082E-6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4.2726006715690562E-6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4.3498286771539042E-6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4.4270566827387539E-6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4.5042846883236019E-6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4.5815126939084508E-6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4.6344380158948924E-6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4.6873633378813341E-6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4.7402886598677757E-6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4.7932139818542165E-6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4.8461393038406582E-6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4.8762819631985768E-6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4.9064246225564955E-6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4.9365672819144132E-6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4.9667099412723319E-6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4.9968526006302497E-6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5.0187767310641023E-6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5.0407008614979541E-6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5.0626249919318076E-6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5.0845491223656602E-6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5.1064732527995111E-6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1.8782222592637059E-5</v>
      </c>
      <c r="C13" s="7">
        <f>$B13 * IFERROR(VLOOKUP("electricity|NOx|Non-fatal heart attacks", US_national_yearly!$D:$AM, 11, FALSE) / VLOOKUP("electricity|NOx|Non-fatal heart attacks", US_national_yearly!$D:$AM, 10, FALSE), 1)</f>
        <v>1.9321220636971696E-5</v>
      </c>
      <c r="D13" s="7">
        <f>$B13 * IFERROR(VLOOKUP("electricity|NOx|Non-fatal heart attacks", US_national_yearly!$D:$AM, 12, FALSE) / VLOOKUP("electricity|NOx|Non-fatal heart attacks", US_national_yearly!$D:$AM, 10, FALSE), 1)</f>
        <v>1.9860218681306332E-5</v>
      </c>
      <c r="E13" s="7">
        <f>$B13 * IFERROR(VLOOKUP("electricity|NOx|Non-fatal heart attacks", US_national_yearly!$D:$AM, 13, FALSE) / VLOOKUP("electricity|NOx|Non-fatal heart attacks", US_national_yearly!$D:$AM, 10, FALSE), 1)</f>
        <v>2.0399216725640969E-5</v>
      </c>
      <c r="F13" s="7">
        <f>$B13 * IFERROR(VLOOKUP("electricity|NOx|Non-fatal heart attacks", US_national_yearly!$D:$AM, 14, FALSE) / VLOOKUP("electricity|NOx|Non-fatal heart attacks", US_national_yearly!$D:$AM, 10, FALSE), 1)</f>
        <v>2.0938214769975609E-5</v>
      </c>
      <c r="G13" s="7">
        <f>$B13 * IFERROR(VLOOKUP("electricity|NOx|Non-fatal heart attacks", US_national_yearly!$D:$AM, 15, FALSE) / VLOOKUP("electricity|NOx|Non-fatal heart attacks", US_national_yearly!$D:$AM, 10, FALSE), 1)</f>
        <v>2.1445971608202153E-5</v>
      </c>
      <c r="H13" s="7">
        <f>$B13 * IFERROR(VLOOKUP("electricity|NOx|Non-fatal heart attacks", US_national_yearly!$D:$AM, 16, FALSE) / VLOOKUP("electricity|NOx|Non-fatal heart attacks", US_national_yearly!$D:$AM, 10, FALSE), 1)</f>
        <v>2.1953728446428694E-5</v>
      </c>
      <c r="I13" s="7">
        <f>$B13 * IFERROR(VLOOKUP("electricity|NOx|Non-fatal heart attacks", US_national_yearly!$D:$AM, 17, FALSE) / VLOOKUP("electricity|NOx|Non-fatal heart attacks", US_national_yearly!$D:$AM, 10, FALSE), 1)</f>
        <v>2.236089806127485E-5</v>
      </c>
      <c r="J13" s="7">
        <f>$B13 * IFERROR(VLOOKUP("electricity|NOx|Non-fatal heart attacks", US_national_yearly!$D:$AM, 18, FALSE) / VLOOKUP("electricity|NOx|Non-fatal heart attacks", US_national_yearly!$D:$AM, 10, FALSE), 1)</f>
        <v>2.2768067676121004E-5</v>
      </c>
      <c r="K13" s="7">
        <f>$B13 * IFERROR(VLOOKUP("electricity|NOx|Non-fatal heart attacks", US_national_yearly!$D:$AM, 19, FALSE) / VLOOKUP("electricity|NOx|Non-fatal heart attacks", US_national_yearly!$D:$AM, 10, FALSE), 1)</f>
        <v>2.3175237290967136E-5</v>
      </c>
      <c r="L13" s="7">
        <f>$B13 * IFERROR(VLOOKUP("electricity|NOx|Non-fatal heart attacks", US_national_yearly!$D:$AM, 20, FALSE) / VLOOKUP("electricity|NOx|Non-fatal heart attacks", US_national_yearly!$D:$AM, 10, FALSE), 1)</f>
        <v>2.3582406905813289E-5</v>
      </c>
      <c r="M13" s="7">
        <f>$B13 * IFERROR(VLOOKUP("electricity|NOx|Non-fatal heart attacks", US_national_yearly!$D:$AM, 21, FALSE) / VLOOKUP("electricity|NOx|Non-fatal heart attacks", US_national_yearly!$D:$AM, 10, FALSE), 1)</f>
        <v>2.3989576520659446E-5</v>
      </c>
      <c r="N13" s="7">
        <f>$B13 * IFERROR(VLOOKUP("electricity|NOx|Non-fatal heart attacks", US_national_yearly!$D:$AM, 22, FALSE) / VLOOKUP("electricity|NOx|Non-fatal heart attacks", US_national_yearly!$D:$AM, 10, FALSE), 1)</f>
        <v>2.4240686482080821E-5</v>
      </c>
      <c r="O13" s="7">
        <f>$B13 * IFERROR(VLOOKUP("electricity|NOx|Non-fatal heart attacks", US_national_yearly!$D:$AM, 23, FALSE) / VLOOKUP("electricity|NOx|Non-fatal heart attacks", US_national_yearly!$D:$AM, 10, FALSE), 1)</f>
        <v>2.4491796443502206E-5</v>
      </c>
      <c r="P13" s="7">
        <f>$B13 * IFERROR(VLOOKUP("electricity|NOx|Non-fatal heart attacks", US_national_yearly!$D:$AM, 24, FALSE) / VLOOKUP("electricity|NOx|Non-fatal heart attacks", US_national_yearly!$D:$AM, 10, FALSE), 1)</f>
        <v>2.4742906404923585E-5</v>
      </c>
      <c r="Q13" s="7">
        <f>$B13 * IFERROR(VLOOKUP("electricity|NOx|Non-fatal heart attacks", US_national_yearly!$D:$AM, 25, FALSE) / VLOOKUP("electricity|NOx|Non-fatal heart attacks", US_national_yearly!$D:$AM, 10, FALSE), 1)</f>
        <v>2.4994016366344967E-5</v>
      </c>
      <c r="R13" s="7">
        <f>$B13 * IFERROR(VLOOKUP("electricity|NOx|Non-fatal heart attacks", US_national_yearly!$D:$AM, 26, FALSE) / VLOOKUP("electricity|NOx|Non-fatal heart attacks", US_national_yearly!$D:$AM, 10, FALSE), 1)</f>
        <v>2.5245126327766346E-5</v>
      </c>
      <c r="S13" s="7">
        <f>$B13 * IFERROR(VLOOKUP("electricity|NOx|Non-fatal heart attacks", US_national_yearly!$D:$AM, 27, FALSE) / VLOOKUP("electricity|NOx|Non-fatal heart attacks", US_national_yearly!$D:$AM, 10, FALSE), 1)</f>
        <v>2.5367817818339704E-5</v>
      </c>
      <c r="T13" s="7">
        <f>$B13 * IFERROR(VLOOKUP("electricity|NOx|Non-fatal heart attacks", US_national_yearly!$D:$AM, 28, FALSE) / VLOOKUP("electricity|NOx|Non-fatal heart attacks", US_national_yearly!$D:$AM, 10, FALSE), 1)</f>
        <v>2.5490509308913055E-5</v>
      </c>
      <c r="U13" s="7">
        <f>$B13 * IFERROR(VLOOKUP("electricity|NOx|Non-fatal heart attacks", US_national_yearly!$D:$AM, 29, FALSE) / VLOOKUP("electricity|NOx|Non-fatal heart attacks", US_national_yearly!$D:$AM, 10, FALSE), 1)</f>
        <v>2.561320079948642E-5</v>
      </c>
      <c r="V13" s="7">
        <f>$B13 * IFERROR(VLOOKUP("electricity|NOx|Non-fatal heart attacks", US_national_yearly!$D:$AM, 30, FALSE) / VLOOKUP("electricity|NOx|Non-fatal heart attacks", US_national_yearly!$D:$AM, 10, FALSE), 1)</f>
        <v>2.5735892290059772E-5</v>
      </c>
      <c r="W13" s="7">
        <f>$B13 * IFERROR(VLOOKUP("electricity|NOx|Non-fatal heart attacks", US_national_yearly!$D:$AM, 31, FALSE) / VLOOKUP("electricity|NOx|Non-fatal heart attacks", US_national_yearly!$D:$AM, 10, FALSE), 1)</f>
        <v>2.5858583780633134E-5</v>
      </c>
      <c r="X13" s="7">
        <f>$B13 * IFERROR(VLOOKUP("electricity|NOx|Non-fatal heart attacks", US_national_yearly!$D:$AM, 32, FALSE) / VLOOKUP("electricity|NOx|Non-fatal heart attacks", US_national_yearly!$D:$AM, 10, FALSE), 1)</f>
        <v>2.5944219180511412E-5</v>
      </c>
      <c r="Y13" s="7">
        <f>$B13 * IFERROR(VLOOKUP("electricity|NOx|Non-fatal heart attacks", US_national_yearly!$D:$AM, 33, FALSE) / VLOOKUP("electricity|NOx|Non-fatal heart attacks", US_national_yearly!$D:$AM, 10, FALSE), 1)</f>
        <v>2.6029854580389693E-5</v>
      </c>
      <c r="Z13" s="7">
        <f>$B13 * IFERROR(VLOOKUP("electricity|NOx|Non-fatal heart attacks", US_national_yearly!$D:$AM, 34, FALSE) / VLOOKUP("electricity|NOx|Non-fatal heart attacks", US_national_yearly!$D:$AM, 10, FALSE), 1)</f>
        <v>2.6115489980267971E-5</v>
      </c>
      <c r="AA13" s="7">
        <f>$B13 * IFERROR(VLOOKUP("electricity|NOx|Non-fatal heart attacks", US_national_yearly!$D:$AM, 35, FALSE) / VLOOKUP("electricity|NOx|Non-fatal heart attacks", US_national_yearly!$D:$AM, 10, FALSE), 1)</f>
        <v>2.6201125380146246E-5</v>
      </c>
      <c r="AB13" s="7">
        <f>$B13 * IFERROR(VLOOKUP("electricity|NOx|Non-fatal heart attacks", US_national_yearly!$D:$AM, 36, FALSE) / VLOOKUP("electricity|NOx|Non-fatal heart attacks", US_national_yearly!$D:$AM, 10, FALSE), 1)</f>
        <v>2.6286760780024531E-5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1.6612432550999107E-2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1.6637903037264229E-2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1.6663373523529354E-2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1.6688844009794476E-2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1.6714314496059604E-2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1.6758743924962415E-2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1.6803173353865226E-2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1.6891076678066726E-2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1.6978980002268221E-2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1.7066883326469721E-2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1.7154786650671213E-2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1.7242689974872712E-2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1.7369805567336433E-2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1.7496921159800151E-2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1.7624036752263868E-2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1.7751152344727589E-2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1.7878267937191307E-2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1.8006344818748712E-2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1.8134421700306116E-2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1.8262498581863525E-2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1.8390575463420929E-2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1.8518652344978334E-2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1.8626967430920887E-2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1.8735282516863429E-2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1.8843597602806E-2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1.8951912688748549E-2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1.9060227774691098E-2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2.8228488297497947E-3</v>
      </c>
      <c r="C15" s="7">
        <f>$B15 * IFERROR(VLOOKUP("electricity|NOx|Work loss days", US_national_yearly!$D:$AM, 11, FALSE) / VLOOKUP("electricity|NOx|Work loss days", US_national_yearly!$D:$AM, 10, FALSE), 1)</f>
        <v>2.8291447915273307E-3</v>
      </c>
      <c r="D15" s="7">
        <f>$B15 * IFERROR(VLOOKUP("electricity|NOx|Work loss days", US_national_yearly!$D:$AM, 12, FALSE) / VLOOKUP("electricity|NOx|Work loss days", US_national_yearly!$D:$AM, 10, FALSE), 1)</f>
        <v>2.8354407533048667E-3</v>
      </c>
      <c r="E15" s="7">
        <f>$B15 * IFERROR(VLOOKUP("electricity|NOx|Work loss days", US_national_yearly!$D:$AM, 13, FALSE) / VLOOKUP("electricity|NOx|Work loss days", US_national_yearly!$D:$AM, 10, FALSE), 1)</f>
        <v>2.8417367150824031E-3</v>
      </c>
      <c r="F15" s="7">
        <f>$B15 * IFERROR(VLOOKUP("electricity|NOx|Work loss days", US_national_yearly!$D:$AM, 14, FALSE) / VLOOKUP("electricity|NOx|Work loss days", US_national_yearly!$D:$AM, 10, FALSE), 1)</f>
        <v>2.8480326768599391E-3</v>
      </c>
      <c r="G15" s="7">
        <f>$B15 * IFERROR(VLOOKUP("electricity|NOx|Work loss days", US_national_yearly!$D:$AM, 15, FALSE) / VLOOKUP("electricity|NOx|Work loss days", US_national_yearly!$D:$AM, 10, FALSE), 1)</f>
        <v>2.8569085396684627E-3</v>
      </c>
      <c r="H15" s="7">
        <f>$B15 * IFERROR(VLOOKUP("electricity|NOx|Work loss days", US_national_yearly!$D:$AM, 16, FALSE) / VLOOKUP("electricity|NOx|Work loss days", US_national_yearly!$D:$AM, 10, FALSE), 1)</f>
        <v>2.8657844024769855E-3</v>
      </c>
      <c r="I15" s="7">
        <f>$B15 * IFERROR(VLOOKUP("electricity|NOx|Work loss days", US_national_yearly!$D:$AM, 17, FALSE) / VLOOKUP("electricity|NOx|Work loss days", US_national_yearly!$D:$AM, 10, FALSE), 1)</f>
        <v>2.8801964209745159E-3</v>
      </c>
      <c r="J15" s="7">
        <f>$B15 * IFERROR(VLOOKUP("electricity|NOx|Work loss days", US_national_yearly!$D:$AM, 18, FALSE) / VLOOKUP("electricity|NOx|Work loss days", US_national_yearly!$D:$AM, 10, FALSE), 1)</f>
        <v>2.8946084394720463E-3</v>
      </c>
      <c r="K15" s="7">
        <f>$B15 * IFERROR(VLOOKUP("electricity|NOx|Work loss days", US_national_yearly!$D:$AM, 19, FALSE) / VLOOKUP("electricity|NOx|Work loss days", US_national_yearly!$D:$AM, 10, FALSE), 1)</f>
        <v>2.9090204579695759E-3</v>
      </c>
      <c r="L15" s="7">
        <f>$B15 * IFERROR(VLOOKUP("electricity|NOx|Work loss days", US_national_yearly!$D:$AM, 20, FALSE) / VLOOKUP("electricity|NOx|Work loss days", US_national_yearly!$D:$AM, 10, FALSE), 1)</f>
        <v>2.9234324764671059E-3</v>
      </c>
      <c r="M15" s="7">
        <f>$B15 * IFERROR(VLOOKUP("electricity|NOx|Work loss days", US_national_yearly!$D:$AM, 21, FALSE) / VLOOKUP("electricity|NOx|Work loss days", US_national_yearly!$D:$AM, 10, FALSE), 1)</f>
        <v>2.9378444949646355E-3</v>
      </c>
      <c r="N15" s="7">
        <f>$B15 * IFERROR(VLOOKUP("electricity|NOx|Work loss days", US_national_yearly!$D:$AM, 22, FALSE) / VLOOKUP("electricity|NOx|Work loss days", US_national_yearly!$D:$AM, 10, FALSE), 1)</f>
        <v>2.9568592662995337E-3</v>
      </c>
      <c r="O15" s="7">
        <f>$B15 * IFERROR(VLOOKUP("electricity|NOx|Work loss days", US_national_yearly!$D:$AM, 23, FALSE) / VLOOKUP("electricity|NOx|Work loss days", US_national_yearly!$D:$AM, 10, FALSE), 1)</f>
        <v>2.9758740376344315E-3</v>
      </c>
      <c r="P15" s="7">
        <f>$B15 * IFERROR(VLOOKUP("electricity|NOx|Work loss days", US_national_yearly!$D:$AM, 24, FALSE) / VLOOKUP("electricity|NOx|Work loss days", US_national_yearly!$D:$AM, 10, FALSE), 1)</f>
        <v>2.9948888089693301E-3</v>
      </c>
      <c r="Q15" s="7">
        <f>$B15 * IFERROR(VLOOKUP("electricity|NOx|Work loss days", US_national_yearly!$D:$AM, 25, FALSE) / VLOOKUP("electricity|NOx|Work loss days", US_national_yearly!$D:$AM, 10, FALSE), 1)</f>
        <v>3.0139035803042283E-3</v>
      </c>
      <c r="R15" s="7">
        <f>$B15 * IFERROR(VLOOKUP("electricity|NOx|Work loss days", US_national_yearly!$D:$AM, 26, FALSE) / VLOOKUP("electricity|NOx|Work loss days", US_national_yearly!$D:$AM, 10, FALSE), 1)</f>
        <v>3.0329183516391257E-3</v>
      </c>
      <c r="S15" s="7">
        <f>$B15 * IFERROR(VLOOKUP("electricity|NOx|Work loss days", US_national_yearly!$D:$AM, 27, FALSE) / VLOOKUP("electricity|NOx|Work loss days", US_national_yearly!$D:$AM, 10, FALSE), 1)</f>
        <v>3.0542268242635287E-3</v>
      </c>
      <c r="T15" s="7">
        <f>$B15 * IFERROR(VLOOKUP("electricity|NOx|Work loss days", US_national_yearly!$D:$AM, 28, FALSE) / VLOOKUP("electricity|NOx|Work loss days", US_national_yearly!$D:$AM, 10, FALSE), 1)</f>
        <v>3.0755352968879308E-3</v>
      </c>
      <c r="U15" s="7">
        <f>$B15 * IFERROR(VLOOKUP("electricity|NOx|Work loss days", US_national_yearly!$D:$AM, 29, FALSE) / VLOOKUP("electricity|NOx|Work loss days", US_national_yearly!$D:$AM, 10, FALSE), 1)</f>
        <v>3.0968437695123329E-3</v>
      </c>
      <c r="V15" s="7">
        <f>$B15 * IFERROR(VLOOKUP("electricity|NOx|Work loss days", US_national_yearly!$D:$AM, 30, FALSE) / VLOOKUP("electricity|NOx|Work loss days", US_national_yearly!$D:$AM, 10, FALSE), 1)</f>
        <v>3.1181522421367355E-3</v>
      </c>
      <c r="W15" s="7">
        <f>$B15 * IFERROR(VLOOKUP("electricity|NOx|Work loss days", US_national_yearly!$D:$AM, 31, FALSE) / VLOOKUP("electricity|NOx|Work loss days", US_national_yearly!$D:$AM, 10, FALSE), 1)</f>
        <v>3.139460714761138E-3</v>
      </c>
      <c r="X15" s="7">
        <f>$B15 * IFERROR(VLOOKUP("electricity|NOx|Work loss days", US_national_yearly!$D:$AM, 32, FALSE) / VLOOKUP("electricity|NOx|Work loss days", US_national_yearly!$D:$AM, 10, FALSE), 1)</f>
        <v>3.1580354026060401E-3</v>
      </c>
      <c r="Y15" s="7">
        <f>$B15 * IFERROR(VLOOKUP("electricity|NOx|Work loss days", US_national_yearly!$D:$AM, 33, FALSE) / VLOOKUP("electricity|NOx|Work loss days", US_national_yearly!$D:$AM, 10, FALSE), 1)</f>
        <v>3.1766100904509422E-3</v>
      </c>
      <c r="Z15" s="7">
        <f>$B15 * IFERROR(VLOOKUP("electricity|NOx|Work loss days", US_national_yearly!$D:$AM, 34, FALSE) / VLOOKUP("electricity|NOx|Work loss days", US_national_yearly!$D:$AM, 10, FALSE), 1)</f>
        <v>3.1951847782958442E-3</v>
      </c>
      <c r="AA15" s="7">
        <f>$B15 * IFERROR(VLOOKUP("electricity|NOx|Work loss days", US_national_yearly!$D:$AM, 35, FALSE) / VLOOKUP("electricity|NOx|Work loss days", US_national_yearly!$D:$AM, 10, FALSE), 1)</f>
        <v>3.2137594661407472E-3</v>
      </c>
      <c r="AB15" s="7">
        <f>$B15 * IFERROR(VLOOKUP("electricity|NOx|Work loss days", US_national_yearly!$D:$AM, 36, FALSE) / VLOOKUP("electricity|NOx|Work loss days", US_national_yearly!$D:$AM, 10, FALSE), 1)</f>
        <v>3.2323341539856492E-3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4.1512344653796149E-6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4.2735158572139547E-6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4.3957972490482953E-6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4.5180786408826359E-6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4.6403600327169765E-6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4.7574539597397208E-6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4.874547886762466E-6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4.9744935644633629E-6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5.0744392421642599E-6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5.1743849198651578E-6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5.2743305975660556E-6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5.3742762752669517E-6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5.4384186251088459E-6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5.5025609749507392E-6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5.5667033247926325E-6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5.6308456746345258E-6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5.6949880244764199E-6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5.7265536052267428E-6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5.7581191859770665E-6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5.7896847667273894E-6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5.8212503474777139E-6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5.8528159282280368E-6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5.8717343797470648E-6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5.8906528312660927E-6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5.9095712827851207E-6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5.9284897343041478E-6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5.9474081858231758E-6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1.1497199862533613E-3</v>
      </c>
      <c r="C2" s="7">
        <f>$B2 * IFERROR(VLOOKUP("electricity|SO2|Premature mortality", US_national_yearly!$D:$AM, 11, FALSE) / VLOOKUP("electricity|SO2|Premature mortality", US_national_yearly!$D:$AM, 10, FALSE), 1)</f>
        <v>1.1644596617250171E-3</v>
      </c>
      <c r="D2" s="7">
        <f>$B2 * IFERROR(VLOOKUP("electricity|SO2|Premature mortality", US_national_yearly!$D:$AM, 12, FALSE) / VLOOKUP("electricity|SO2|Premature mortality", US_national_yearly!$D:$AM, 10, FALSE), 1)</f>
        <v>1.1791993371966728E-3</v>
      </c>
      <c r="E2" s="7">
        <f>$B2 * IFERROR(VLOOKUP("electricity|SO2|Premature mortality", US_national_yearly!$D:$AM, 13, FALSE) / VLOOKUP("electricity|SO2|Premature mortality", US_national_yearly!$D:$AM, 10, FALSE), 1)</f>
        <v>1.1939390126683286E-3</v>
      </c>
      <c r="F2" s="7">
        <f>$B2 * IFERROR(VLOOKUP("electricity|SO2|Premature mortality", US_national_yearly!$D:$AM, 14, FALSE) / VLOOKUP("electricity|SO2|Premature mortality", US_national_yearly!$D:$AM, 10, FALSE), 1)</f>
        <v>1.2086786881399842E-3</v>
      </c>
      <c r="G2" s="7">
        <f>$B2 * IFERROR(VLOOKUP("electricity|SO2|Premature mortality", US_national_yearly!$D:$AM, 15, FALSE) / VLOOKUP("electricity|SO2|Premature mortality", US_national_yearly!$D:$AM, 10, FALSE), 1)</f>
        <v>1.2370732151175841E-3</v>
      </c>
      <c r="H2" s="7">
        <f>$B2 * IFERROR(VLOOKUP("electricity|SO2|Premature mortality", US_national_yearly!$D:$AM, 16, FALSE) / VLOOKUP("electricity|SO2|Premature mortality", US_national_yearly!$D:$AM, 10, FALSE), 1)</f>
        <v>1.2654677420951836E-3</v>
      </c>
      <c r="I2" s="7">
        <f>$B2 * IFERROR(VLOOKUP("electricity|SO2|Premature mortality", US_national_yearly!$D:$AM, 17, FALSE) / VLOOKUP("electricity|SO2|Premature mortality", US_national_yearly!$D:$AM, 10, FALSE), 1)</f>
        <v>1.2845811805019792E-3</v>
      </c>
      <c r="J2" s="7">
        <f>$B2 * IFERROR(VLOOKUP("electricity|SO2|Premature mortality", US_national_yearly!$D:$AM, 18, FALSE) / VLOOKUP("electricity|SO2|Premature mortality", US_national_yearly!$D:$AM, 10, FALSE), 1)</f>
        <v>1.3036946189087745E-3</v>
      </c>
      <c r="K2" s="7">
        <f>$B2 * IFERROR(VLOOKUP("electricity|SO2|Premature mortality", US_national_yearly!$D:$AM, 19, FALSE) / VLOOKUP("electricity|SO2|Premature mortality", US_national_yearly!$D:$AM, 10, FALSE), 1)</f>
        <v>1.3228080573155696E-3</v>
      </c>
      <c r="L2" s="7">
        <f>$B2 * IFERROR(VLOOKUP("electricity|SO2|Premature mortality", US_national_yearly!$D:$AM, 20, FALSE) / VLOOKUP("electricity|SO2|Premature mortality", US_national_yearly!$D:$AM, 10, FALSE), 1)</f>
        <v>1.3419214957223653E-3</v>
      </c>
      <c r="M2" s="7">
        <f>$B2 * IFERROR(VLOOKUP("electricity|SO2|Premature mortality", US_national_yearly!$D:$AM, 21, FALSE) / VLOOKUP("electricity|SO2|Premature mortality", US_national_yearly!$D:$AM, 10, FALSE), 1)</f>
        <v>1.3610349341291604E-3</v>
      </c>
      <c r="N2" s="7">
        <f>$B2 * IFERROR(VLOOKUP("electricity|SO2|Premature mortality", US_national_yearly!$D:$AM, 22, FALSE) / VLOOKUP("electricity|SO2|Premature mortality", US_national_yearly!$D:$AM, 10, FALSE), 1)</f>
        <v>1.3763528315878354E-3</v>
      </c>
      <c r="O2" s="7">
        <f>$B2 * IFERROR(VLOOKUP("electricity|SO2|Premature mortality", US_national_yearly!$D:$AM, 23, FALSE) / VLOOKUP("electricity|SO2|Premature mortality", US_national_yearly!$D:$AM, 10, FALSE), 1)</f>
        <v>1.3916707290465107E-3</v>
      </c>
      <c r="P2" s="7">
        <f>$B2 * IFERROR(VLOOKUP("electricity|SO2|Premature mortality", US_national_yearly!$D:$AM, 24, FALSE) / VLOOKUP("electricity|SO2|Premature mortality", US_national_yearly!$D:$AM, 10, FALSE), 1)</f>
        <v>1.4069886265051853E-3</v>
      </c>
      <c r="Q2" s="7">
        <f>$B2 * IFERROR(VLOOKUP("electricity|SO2|Premature mortality", US_national_yearly!$D:$AM, 25, FALSE) / VLOOKUP("electricity|SO2|Premature mortality", US_national_yearly!$D:$AM, 10, FALSE), 1)</f>
        <v>1.4223065239638603E-3</v>
      </c>
      <c r="R2" s="7">
        <f>$B2 * IFERROR(VLOOKUP("electricity|SO2|Premature mortality", US_national_yearly!$D:$AM, 26, FALSE) / VLOOKUP("electricity|SO2|Premature mortality", US_national_yearly!$D:$AM, 10, FALSE), 1)</f>
        <v>1.4376244214225351E-3</v>
      </c>
      <c r="S2" s="7">
        <f>$B2 * IFERROR(VLOOKUP("electricity|SO2|Premature mortality", US_national_yearly!$D:$AM, 27, FALSE) / VLOOKUP("electricity|SO2|Premature mortality", US_national_yearly!$D:$AM, 10, FALSE), 1)</f>
        <v>1.446406619464417E-3</v>
      </c>
      <c r="T2" s="7">
        <f>$B2 * IFERROR(VLOOKUP("electricity|SO2|Premature mortality", US_national_yearly!$D:$AM, 28, FALSE) / VLOOKUP("electricity|SO2|Premature mortality", US_national_yearly!$D:$AM, 10, FALSE), 1)</f>
        <v>1.455188817506299E-3</v>
      </c>
      <c r="U2" s="7">
        <f>$B2 * IFERROR(VLOOKUP("electricity|SO2|Premature mortality", US_national_yearly!$D:$AM, 29, FALSE) / VLOOKUP("electricity|SO2|Premature mortality", US_national_yearly!$D:$AM, 10, FALSE), 1)</f>
        <v>1.4639710155481809E-3</v>
      </c>
      <c r="V2" s="7">
        <f>$B2 * IFERROR(VLOOKUP("electricity|SO2|Premature mortality", US_national_yearly!$D:$AM, 30, FALSE) / VLOOKUP("electricity|SO2|Premature mortality", US_national_yearly!$D:$AM, 10, FALSE), 1)</f>
        <v>1.472753213590063E-3</v>
      </c>
      <c r="W2" s="7">
        <f>$B2 * IFERROR(VLOOKUP("electricity|SO2|Premature mortality", US_national_yearly!$D:$AM, 31, FALSE) / VLOOKUP("electricity|SO2|Premature mortality", US_national_yearly!$D:$AM, 10, FALSE), 1)</f>
        <v>1.4815354116319449E-3</v>
      </c>
      <c r="X2" s="7">
        <f>$B2 * IFERROR(VLOOKUP("electricity|SO2|Premature mortality", US_national_yearly!$D:$AM, 32, FALSE) / VLOOKUP("electricity|SO2|Premature mortality", US_national_yearly!$D:$AM, 10, FALSE), 1)</f>
        <v>1.484123048243646E-3</v>
      </c>
      <c r="Y2" s="7">
        <f>$B2 * IFERROR(VLOOKUP("electricity|SO2|Premature mortality", US_national_yearly!$D:$AM, 33, FALSE) / VLOOKUP("electricity|SO2|Premature mortality", US_national_yearly!$D:$AM, 10, FALSE), 1)</f>
        <v>1.4867106848553465E-3</v>
      </c>
      <c r="Z2" s="7">
        <f>$B2 * IFERROR(VLOOKUP("electricity|SO2|Premature mortality", US_national_yearly!$D:$AM, 34, FALSE) / VLOOKUP("electricity|SO2|Premature mortality", US_national_yearly!$D:$AM, 10, FALSE), 1)</f>
        <v>1.4892983214670472E-3</v>
      </c>
      <c r="AA2" s="7">
        <f>$B2 * IFERROR(VLOOKUP("electricity|SO2|Premature mortality", US_national_yearly!$D:$AM, 35, FALSE) / VLOOKUP("electricity|SO2|Premature mortality", US_national_yearly!$D:$AM, 10, FALSE), 1)</f>
        <v>1.4918859580787484E-3</v>
      </c>
      <c r="AB2" s="7">
        <f>$B2 * IFERROR(VLOOKUP("electricity|SO2|Premature mortality", US_national_yearly!$D:$AM, 36, FALSE) / VLOOKUP("electricity|SO2|Premature mortality", US_national_yearly!$D:$AM, 10, FALSE), 1)</f>
        <v>1.4944735946904489E-3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2.5184595471397655E-6</v>
      </c>
      <c r="C3" s="7">
        <f>$B3 * IFERROR(VLOOKUP("electricity|SO2|Infant mortality", US_national_yearly!$D:$AM, 11, FALSE) / VLOOKUP("electricity|SO2|Infant mortality", US_national_yearly!$D:$AM, 10, FALSE), 1)</f>
        <v>2.4971833524781016E-6</v>
      </c>
      <c r="D3" s="7">
        <f>$B3 * IFERROR(VLOOKUP("electricity|SO2|Infant mortality", US_national_yearly!$D:$AM, 12, FALSE) / VLOOKUP("electricity|SO2|Infant mortality", US_national_yearly!$D:$AM, 10, FALSE), 1)</f>
        <v>2.4759071578164376E-6</v>
      </c>
      <c r="E3" s="7">
        <f>$B3 * IFERROR(VLOOKUP("electricity|SO2|Infant mortality", US_national_yearly!$D:$AM, 13, FALSE) / VLOOKUP("electricity|SO2|Infant mortality", US_national_yearly!$D:$AM, 10, FALSE), 1)</f>
        <v>2.4546309631547732E-6</v>
      </c>
      <c r="F3" s="7">
        <f>$B3 * IFERROR(VLOOKUP("electricity|SO2|Infant mortality", US_national_yearly!$D:$AM, 14, FALSE) / VLOOKUP("electricity|SO2|Infant mortality", US_national_yearly!$D:$AM, 10, FALSE), 1)</f>
        <v>2.4333547684931097E-6</v>
      </c>
      <c r="G3" s="7">
        <f>$B3 * IFERROR(VLOOKUP("electricity|SO2|Infant mortality", US_national_yearly!$D:$AM, 15, FALSE) / VLOOKUP("electricity|SO2|Infant mortality", US_national_yearly!$D:$AM, 10, FALSE), 1)</f>
        <v>1.6183069719074213E-6</v>
      </c>
      <c r="H3" s="7">
        <f>$B3 * IFERROR(VLOOKUP("electricity|SO2|Infant mortality", US_national_yearly!$D:$AM, 16, FALSE) / VLOOKUP("electricity|SO2|Infant mortality", US_national_yearly!$D:$AM, 10, FALSE), 1)</f>
        <v>8.03259175321733E-7</v>
      </c>
      <c r="I3" s="7">
        <f>$B3 * IFERROR(VLOOKUP("electricity|SO2|Infant mortality", US_national_yearly!$D:$AM, 17, FALSE) / VLOOKUP("electricity|SO2|Infant mortality", US_national_yearly!$D:$AM, 10, FALSE), 1)</f>
        <v>7.9812034029906406E-7</v>
      </c>
      <c r="J3" s="7">
        <f>$B3 * IFERROR(VLOOKUP("electricity|SO2|Infant mortality", US_national_yearly!$D:$AM, 18, FALSE) / VLOOKUP("electricity|SO2|Infant mortality", US_national_yearly!$D:$AM, 10, FALSE), 1)</f>
        <v>7.9298150527639511E-7</v>
      </c>
      <c r="K3" s="7">
        <f>$B3 * IFERROR(VLOOKUP("electricity|SO2|Infant mortality", US_national_yearly!$D:$AM, 19, FALSE) / VLOOKUP("electricity|SO2|Infant mortality", US_national_yearly!$D:$AM, 10, FALSE), 1)</f>
        <v>7.8784267025372638E-7</v>
      </c>
      <c r="L3" s="7">
        <f>$B3 * IFERROR(VLOOKUP("electricity|SO2|Infant mortality", US_national_yearly!$D:$AM, 20, FALSE) / VLOOKUP("electricity|SO2|Infant mortality", US_national_yearly!$D:$AM, 10, FALSE), 1)</f>
        <v>7.8270383523105733E-7</v>
      </c>
      <c r="M3" s="7">
        <f>$B3 * IFERROR(VLOOKUP("electricity|SO2|Infant mortality", US_national_yearly!$D:$AM, 21, FALSE) / VLOOKUP("electricity|SO2|Infant mortality", US_national_yearly!$D:$AM, 10, FALSE), 1)</f>
        <v>7.7756500020838849E-7</v>
      </c>
      <c r="N3" s="7">
        <f>$B3 * IFERROR(VLOOKUP("electricity|SO2|Infant mortality", US_national_yearly!$D:$AM, 22, FALSE) / VLOOKUP("electricity|SO2|Infant mortality", US_national_yearly!$D:$AM, 10, FALSE), 1)</f>
        <v>7.7430880662067706E-7</v>
      </c>
      <c r="O3" s="7">
        <f>$B3 * IFERROR(VLOOKUP("electricity|SO2|Infant mortality", US_national_yearly!$D:$AM, 23, FALSE) / VLOOKUP("electricity|SO2|Infant mortality", US_national_yearly!$D:$AM, 10, FALSE), 1)</f>
        <v>7.7105261303296543E-7</v>
      </c>
      <c r="P3" s="7">
        <f>$B3 * IFERROR(VLOOKUP("electricity|SO2|Infant mortality", US_national_yearly!$D:$AM, 24, FALSE) / VLOOKUP("electricity|SO2|Infant mortality", US_national_yearly!$D:$AM, 10, FALSE), 1)</f>
        <v>7.6779641944525379E-7</v>
      </c>
      <c r="Q3" s="7">
        <f>$B3 * IFERROR(VLOOKUP("electricity|SO2|Infant mortality", US_national_yearly!$D:$AM, 25, FALSE) / VLOOKUP("electricity|SO2|Infant mortality", US_national_yearly!$D:$AM, 10, FALSE), 1)</f>
        <v>7.6454022585754236E-7</v>
      </c>
      <c r="R3" s="7">
        <f>$B3 * IFERROR(VLOOKUP("electricity|SO2|Infant mortality", US_national_yearly!$D:$AM, 26, FALSE) / VLOOKUP("electricity|SO2|Infant mortality", US_national_yearly!$D:$AM, 10, FALSE), 1)</f>
        <v>7.6128403226983083E-7</v>
      </c>
      <c r="S3" s="7">
        <f>$B3 * IFERROR(VLOOKUP("electricity|SO2|Infant mortality", US_national_yearly!$D:$AM, 27, FALSE) / VLOOKUP("electricity|SO2|Infant mortality", US_national_yearly!$D:$AM, 10, FALSE), 1)</f>
        <v>7.5722559955769934E-7</v>
      </c>
      <c r="T3" s="7">
        <f>$B3 * IFERROR(VLOOKUP("electricity|SO2|Infant mortality", US_national_yearly!$D:$AM, 28, FALSE) / VLOOKUP("electricity|SO2|Infant mortality", US_national_yearly!$D:$AM, 10, FALSE), 1)</f>
        <v>7.5316716684556806E-7</v>
      </c>
      <c r="U3" s="7">
        <f>$B3 * IFERROR(VLOOKUP("electricity|SO2|Infant mortality", US_national_yearly!$D:$AM, 29, FALSE) / VLOOKUP("electricity|SO2|Infant mortality", US_national_yearly!$D:$AM, 10, FALSE), 1)</f>
        <v>7.4910873413343678E-7</v>
      </c>
      <c r="V3" s="7">
        <f>$B3 * IFERROR(VLOOKUP("electricity|SO2|Infant mortality", US_national_yearly!$D:$AM, 30, FALSE) / VLOOKUP("electricity|SO2|Infant mortality", US_national_yearly!$D:$AM, 10, FALSE), 1)</f>
        <v>7.450503014213054E-7</v>
      </c>
      <c r="W3" s="7">
        <f>$B3 * IFERROR(VLOOKUP("electricity|SO2|Infant mortality", US_national_yearly!$D:$AM, 31, FALSE) / VLOOKUP("electricity|SO2|Infant mortality", US_national_yearly!$D:$AM, 10, FALSE), 1)</f>
        <v>7.4099186870917401E-7</v>
      </c>
      <c r="X3" s="7">
        <f>$B3 * IFERROR(VLOOKUP("electricity|SO2|Infant mortality", US_national_yearly!$D:$AM, 32, FALSE) / VLOOKUP("electricity|SO2|Infant mortality", US_national_yearly!$D:$AM, 10, FALSE), 1)</f>
        <v>7.3666163985213616E-7</v>
      </c>
      <c r="Y3" s="7">
        <f>$B3 * IFERROR(VLOOKUP("electricity|SO2|Infant mortality", US_national_yearly!$D:$AM, 33, FALSE) / VLOOKUP("electricity|SO2|Infant mortality", US_national_yearly!$D:$AM, 10, FALSE), 1)</f>
        <v>7.3233141099509809E-7</v>
      </c>
      <c r="Z3" s="7">
        <f>$B3 * IFERROR(VLOOKUP("electricity|SO2|Infant mortality", US_national_yearly!$D:$AM, 34, FALSE) / VLOOKUP("electricity|SO2|Infant mortality", US_national_yearly!$D:$AM, 10, FALSE), 1)</f>
        <v>7.2800118213806034E-7</v>
      </c>
      <c r="AA3" s="7">
        <f>$B3 * IFERROR(VLOOKUP("electricity|SO2|Infant mortality", US_national_yearly!$D:$AM, 35, FALSE) / VLOOKUP("electricity|SO2|Infant mortality", US_national_yearly!$D:$AM, 10, FALSE), 1)</f>
        <v>7.2367095328102249E-7</v>
      </c>
      <c r="AB3" s="7">
        <f>$B3 * IFERROR(VLOOKUP("electricity|SO2|Infant mortality", US_national_yearly!$D:$AM, 36, FALSE) / VLOOKUP("electricity|SO2|Infant mortality", US_national_yearly!$D:$AM, 10, FALSE), 1)</f>
        <v>7.1934072442398463E-7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2.803078259818622E-3</v>
      </c>
      <c r="C6" s="7">
        <f>$B6 * IFERROR(VLOOKUP("electricity|SO2|Asthma symptoms cough", US_national_yearly!$D:$AM, 11, FALSE) / VLOOKUP("electricity|SO2|Asthma symptoms cough", US_national_yearly!$D:$AM, 10, FALSE), 1)</f>
        <v>2.803078259818622E-3</v>
      </c>
      <c r="D6" s="7">
        <f>$B6 * IFERROR(VLOOKUP("electricity|SO2|Asthma symptoms cough", US_national_yearly!$D:$AM, 12, FALSE) / VLOOKUP("electricity|SO2|Asthma symptoms cough", US_national_yearly!$D:$AM, 10, FALSE), 1)</f>
        <v>2.803078259818622E-3</v>
      </c>
      <c r="E6" s="7">
        <f>$B6 * IFERROR(VLOOKUP("electricity|SO2|Asthma symptoms cough", US_national_yearly!$D:$AM, 13, FALSE) / VLOOKUP("electricity|SO2|Asthma symptoms cough", US_national_yearly!$D:$AM, 10, FALSE), 1)</f>
        <v>2.803078259818622E-3</v>
      </c>
      <c r="F6" s="7">
        <f>$B6 * IFERROR(VLOOKUP("electricity|SO2|Asthma symptoms cough", US_national_yearly!$D:$AM, 14, FALSE) / VLOOKUP("electricity|SO2|Asthma symptoms cough", US_national_yearly!$D:$AM, 10, FALSE), 1)</f>
        <v>2.803078259818622E-3</v>
      </c>
      <c r="G6" s="7">
        <f>$B6 * IFERROR(VLOOKUP("electricity|SO2|Asthma symptoms cough", US_national_yearly!$D:$AM, 15, FALSE) / VLOOKUP("electricity|SO2|Asthma symptoms cough", US_national_yearly!$D:$AM, 10, FALSE), 1)</f>
        <v>2.803078259818622E-3</v>
      </c>
      <c r="H6" s="7">
        <f>$B6 * IFERROR(VLOOKUP("electricity|SO2|Asthma symptoms cough", US_national_yearly!$D:$AM, 16, FALSE) / VLOOKUP("electricity|SO2|Asthma symptoms cough", US_national_yearly!$D:$AM, 10, FALSE), 1)</f>
        <v>2.803078259818622E-3</v>
      </c>
      <c r="I6" s="7">
        <f>$B6 * IFERROR(VLOOKUP("electricity|SO2|Asthma symptoms cough", US_national_yearly!$D:$AM, 17, FALSE) / VLOOKUP("electricity|SO2|Asthma symptoms cough", US_national_yearly!$D:$AM, 10, FALSE), 1)</f>
        <v>2.803078259818622E-3</v>
      </c>
      <c r="J6" s="7">
        <f>$B6 * IFERROR(VLOOKUP("electricity|SO2|Asthma symptoms cough", US_national_yearly!$D:$AM, 18, FALSE) / VLOOKUP("electricity|SO2|Asthma symptoms cough", US_national_yearly!$D:$AM, 10, FALSE), 1)</f>
        <v>2.803078259818622E-3</v>
      </c>
      <c r="K6" s="7">
        <f>$B6 * IFERROR(VLOOKUP("electricity|SO2|Asthma symptoms cough", US_national_yearly!$D:$AM, 19, FALSE) / VLOOKUP("electricity|SO2|Asthma symptoms cough", US_national_yearly!$D:$AM, 10, FALSE), 1)</f>
        <v>2.803078259818622E-3</v>
      </c>
      <c r="L6" s="7">
        <f>$B6 * IFERROR(VLOOKUP("electricity|SO2|Asthma symptoms cough", US_national_yearly!$D:$AM, 20, FALSE) / VLOOKUP("electricity|SO2|Asthma symptoms cough", US_national_yearly!$D:$AM, 10, FALSE), 1)</f>
        <v>2.803078259818622E-3</v>
      </c>
      <c r="M6" s="7">
        <f>$B6 * IFERROR(VLOOKUP("electricity|SO2|Asthma symptoms cough", US_national_yearly!$D:$AM, 21, FALSE) / VLOOKUP("electricity|SO2|Asthma symptoms cough", US_national_yearly!$D:$AM, 10, FALSE), 1)</f>
        <v>2.803078259818622E-3</v>
      </c>
      <c r="N6" s="7">
        <f>$B6 * IFERROR(VLOOKUP("electricity|SO2|Asthma symptoms cough", US_national_yearly!$D:$AM, 22, FALSE) / VLOOKUP("electricity|SO2|Asthma symptoms cough", US_national_yearly!$D:$AM, 10, FALSE), 1)</f>
        <v>2.803078259818622E-3</v>
      </c>
      <c r="O6" s="7">
        <f>$B6 * IFERROR(VLOOKUP("electricity|SO2|Asthma symptoms cough", US_national_yearly!$D:$AM, 23, FALSE) / VLOOKUP("electricity|SO2|Asthma symptoms cough", US_national_yearly!$D:$AM, 10, FALSE), 1)</f>
        <v>2.803078259818622E-3</v>
      </c>
      <c r="P6" s="7">
        <f>$B6 * IFERROR(VLOOKUP("electricity|SO2|Asthma symptoms cough", US_national_yearly!$D:$AM, 24, FALSE) / VLOOKUP("electricity|SO2|Asthma symptoms cough", US_national_yearly!$D:$AM, 10, FALSE), 1)</f>
        <v>2.803078259818622E-3</v>
      </c>
      <c r="Q6" s="7">
        <f>$B6 * IFERROR(VLOOKUP("electricity|SO2|Asthma symptoms cough", US_national_yearly!$D:$AM, 25, FALSE) / VLOOKUP("electricity|SO2|Asthma symptoms cough", US_national_yearly!$D:$AM, 10, FALSE), 1)</f>
        <v>2.803078259818622E-3</v>
      </c>
      <c r="R6" s="7">
        <f>$B6 * IFERROR(VLOOKUP("electricity|SO2|Asthma symptoms cough", US_national_yearly!$D:$AM, 26, FALSE) / VLOOKUP("electricity|SO2|Asthma symptoms cough", US_national_yearly!$D:$AM, 10, FALSE), 1)</f>
        <v>2.803078259818622E-3</v>
      </c>
      <c r="S6" s="7">
        <f>$B6 * IFERROR(VLOOKUP("electricity|SO2|Asthma symptoms cough", US_national_yearly!$D:$AM, 27, FALSE) / VLOOKUP("electricity|SO2|Asthma symptoms cough", US_national_yearly!$D:$AM, 10, FALSE), 1)</f>
        <v>2.803078259818622E-3</v>
      </c>
      <c r="T6" s="7">
        <f>$B6 * IFERROR(VLOOKUP("electricity|SO2|Asthma symptoms cough", US_national_yearly!$D:$AM, 28, FALSE) / VLOOKUP("electricity|SO2|Asthma symptoms cough", US_national_yearly!$D:$AM, 10, FALSE), 1)</f>
        <v>2.803078259818622E-3</v>
      </c>
      <c r="U6" s="7">
        <f>$B6 * IFERROR(VLOOKUP("electricity|SO2|Asthma symptoms cough", US_national_yearly!$D:$AM, 29, FALSE) / VLOOKUP("electricity|SO2|Asthma symptoms cough", US_national_yearly!$D:$AM, 10, FALSE), 1)</f>
        <v>2.803078259818622E-3</v>
      </c>
      <c r="V6" s="7">
        <f>$B6 * IFERROR(VLOOKUP("electricity|SO2|Asthma symptoms cough", US_national_yearly!$D:$AM, 30, FALSE) / VLOOKUP("electricity|SO2|Asthma symptoms cough", US_national_yearly!$D:$AM, 10, FALSE), 1)</f>
        <v>2.803078259818622E-3</v>
      </c>
      <c r="W6" s="7">
        <f>$B6 * IFERROR(VLOOKUP("electricity|SO2|Asthma symptoms cough", US_national_yearly!$D:$AM, 31, FALSE) / VLOOKUP("electricity|SO2|Asthma symptoms cough", US_national_yearly!$D:$AM, 10, FALSE), 1)</f>
        <v>2.803078259818622E-3</v>
      </c>
      <c r="X6" s="7">
        <f>$B6 * IFERROR(VLOOKUP("electricity|SO2|Asthma symptoms cough", US_national_yearly!$D:$AM, 32, FALSE) / VLOOKUP("electricity|SO2|Asthma symptoms cough", US_national_yearly!$D:$AM, 10, FALSE), 1)</f>
        <v>2.803078259818622E-3</v>
      </c>
      <c r="Y6" s="7">
        <f>$B6 * IFERROR(VLOOKUP("electricity|SO2|Asthma symptoms cough", US_national_yearly!$D:$AM, 33, FALSE) / VLOOKUP("electricity|SO2|Asthma symptoms cough", US_national_yearly!$D:$AM, 10, FALSE), 1)</f>
        <v>2.803078259818622E-3</v>
      </c>
      <c r="Z6" s="7">
        <f>$B6 * IFERROR(VLOOKUP("electricity|SO2|Asthma symptoms cough", US_national_yearly!$D:$AM, 34, FALSE) / VLOOKUP("electricity|SO2|Asthma symptoms cough", US_national_yearly!$D:$AM, 10, FALSE), 1)</f>
        <v>2.803078259818622E-3</v>
      </c>
      <c r="AA6" s="7">
        <f>$B6 * IFERROR(VLOOKUP("electricity|SO2|Asthma symptoms cough", US_national_yearly!$D:$AM, 35, FALSE) / VLOOKUP("electricity|SO2|Asthma symptoms cough", US_national_yearly!$D:$AM, 10, FALSE), 1)</f>
        <v>2.803078259818622E-3</v>
      </c>
      <c r="AB6" s="7">
        <f>$B6 * IFERROR(VLOOKUP("electricity|SO2|Asthma symptoms cough", US_national_yearly!$D:$AM, 36, FALSE) / VLOOKUP("electricity|SO2|Asthma symptoms cough", US_national_yearly!$D:$AM, 10, FALSE), 1)</f>
        <v>2.803078259818622E-3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3.7747539996354669E-3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3.7747539996354669E-3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3.7747539996354669E-3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3.7747539996354669E-3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3.7747539996354669E-3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3.7747539996354669E-3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3.7747539996354669E-3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3.7747539996354669E-3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3.7747539996354669E-3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3.7747539996354669E-3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3.7747539996354669E-3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3.7747539996354669E-3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3.7747539996354669E-3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3.7747539996354669E-3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3.7747539996354669E-3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3.7747539996354669E-3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3.7747539996354669E-3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3.7747539996354669E-3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3.7747539996354669E-3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3.7747539996354669E-3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3.7747539996354669E-3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3.7747539996354669E-3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3.7747539996354669E-3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3.7747539996354669E-3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3.7747539996354669E-3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3.7747539996354669E-3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3.7747539996354669E-3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5.7671758818399034E-3</v>
      </c>
      <c r="C8" s="7">
        <f>$B8 * IFERROR(VLOOKUP("electricity|SO2|Asthma symptoms wheeze", US_national_yearly!$D:$AM, 11, FALSE) / VLOOKUP("electricity|SO2|Asthma symptoms wheeze", US_national_yearly!$D:$AM, 10, FALSE), 1)</f>
        <v>5.7671758818399034E-3</v>
      </c>
      <c r="D8" s="7">
        <f>$B8 * IFERROR(VLOOKUP("electricity|SO2|Asthma symptoms wheeze", US_national_yearly!$D:$AM, 12, FALSE) / VLOOKUP("electricity|SO2|Asthma symptoms wheeze", US_national_yearly!$D:$AM, 10, FALSE), 1)</f>
        <v>5.7671758818399034E-3</v>
      </c>
      <c r="E8" s="7">
        <f>$B8 * IFERROR(VLOOKUP("electricity|SO2|Asthma symptoms wheeze", US_national_yearly!$D:$AM, 13, FALSE) / VLOOKUP("electricity|SO2|Asthma symptoms wheeze", US_national_yearly!$D:$AM, 10, FALSE), 1)</f>
        <v>5.7671758818399034E-3</v>
      </c>
      <c r="F8" s="7">
        <f>$B8 * IFERROR(VLOOKUP("electricity|SO2|Asthma symptoms wheeze", US_national_yearly!$D:$AM, 14, FALSE) / VLOOKUP("electricity|SO2|Asthma symptoms wheeze", US_national_yearly!$D:$AM, 10, FALSE), 1)</f>
        <v>5.7671758818399034E-3</v>
      </c>
      <c r="G8" s="7">
        <f>$B8 * IFERROR(VLOOKUP("electricity|SO2|Asthma symptoms wheeze", US_national_yearly!$D:$AM, 15, FALSE) / VLOOKUP("electricity|SO2|Asthma symptoms wheeze", US_national_yearly!$D:$AM, 10, FALSE), 1)</f>
        <v>5.7671758818399034E-3</v>
      </c>
      <c r="H8" s="7">
        <f>$B8 * IFERROR(VLOOKUP("electricity|SO2|Asthma symptoms wheeze", US_national_yearly!$D:$AM, 16, FALSE) / VLOOKUP("electricity|SO2|Asthma symptoms wheeze", US_national_yearly!$D:$AM, 10, FALSE), 1)</f>
        <v>5.7671758818399034E-3</v>
      </c>
      <c r="I8" s="7">
        <f>$B8 * IFERROR(VLOOKUP("electricity|SO2|Asthma symptoms wheeze", US_national_yearly!$D:$AM, 17, FALSE) / VLOOKUP("electricity|SO2|Asthma symptoms wheeze", US_national_yearly!$D:$AM, 10, FALSE), 1)</f>
        <v>5.7671758818399034E-3</v>
      </c>
      <c r="J8" s="7">
        <f>$B8 * IFERROR(VLOOKUP("electricity|SO2|Asthma symptoms wheeze", US_national_yearly!$D:$AM, 18, FALSE) / VLOOKUP("electricity|SO2|Asthma symptoms wheeze", US_national_yearly!$D:$AM, 10, FALSE), 1)</f>
        <v>5.7671758818399034E-3</v>
      </c>
      <c r="K8" s="7">
        <f>$B8 * IFERROR(VLOOKUP("electricity|SO2|Asthma symptoms wheeze", US_national_yearly!$D:$AM, 19, FALSE) / VLOOKUP("electricity|SO2|Asthma symptoms wheeze", US_national_yearly!$D:$AM, 10, FALSE), 1)</f>
        <v>5.7671758818399034E-3</v>
      </c>
      <c r="L8" s="7">
        <f>$B8 * IFERROR(VLOOKUP("electricity|SO2|Asthma symptoms wheeze", US_national_yearly!$D:$AM, 20, FALSE) / VLOOKUP("electricity|SO2|Asthma symptoms wheeze", US_national_yearly!$D:$AM, 10, FALSE), 1)</f>
        <v>5.7671758818399034E-3</v>
      </c>
      <c r="M8" s="7">
        <f>$B8 * IFERROR(VLOOKUP("electricity|SO2|Asthma symptoms wheeze", US_national_yearly!$D:$AM, 21, FALSE) / VLOOKUP("electricity|SO2|Asthma symptoms wheeze", US_national_yearly!$D:$AM, 10, FALSE), 1)</f>
        <v>5.7671758818399034E-3</v>
      </c>
      <c r="N8" s="7">
        <f>$B8 * IFERROR(VLOOKUP("electricity|SO2|Asthma symptoms wheeze", US_national_yearly!$D:$AM, 22, FALSE) / VLOOKUP("electricity|SO2|Asthma symptoms wheeze", US_national_yearly!$D:$AM, 10, FALSE), 1)</f>
        <v>5.7671758818399034E-3</v>
      </c>
      <c r="O8" s="7">
        <f>$B8 * IFERROR(VLOOKUP("electricity|SO2|Asthma symptoms wheeze", US_national_yearly!$D:$AM, 23, FALSE) / VLOOKUP("electricity|SO2|Asthma symptoms wheeze", US_national_yearly!$D:$AM, 10, FALSE), 1)</f>
        <v>5.7671758818399034E-3</v>
      </c>
      <c r="P8" s="7">
        <f>$B8 * IFERROR(VLOOKUP("electricity|SO2|Asthma symptoms wheeze", US_national_yearly!$D:$AM, 24, FALSE) / VLOOKUP("electricity|SO2|Asthma symptoms wheeze", US_national_yearly!$D:$AM, 10, FALSE), 1)</f>
        <v>5.7671758818399034E-3</v>
      </c>
      <c r="Q8" s="7">
        <f>$B8 * IFERROR(VLOOKUP("electricity|SO2|Asthma symptoms wheeze", US_national_yearly!$D:$AM, 25, FALSE) / VLOOKUP("electricity|SO2|Asthma symptoms wheeze", US_national_yearly!$D:$AM, 10, FALSE), 1)</f>
        <v>5.7671758818399034E-3</v>
      </c>
      <c r="R8" s="7">
        <f>$B8 * IFERROR(VLOOKUP("electricity|SO2|Asthma symptoms wheeze", US_national_yearly!$D:$AM, 26, FALSE) / VLOOKUP("electricity|SO2|Asthma symptoms wheeze", US_national_yearly!$D:$AM, 10, FALSE), 1)</f>
        <v>5.7671758818399034E-3</v>
      </c>
      <c r="S8" s="7">
        <f>$B8 * IFERROR(VLOOKUP("electricity|SO2|Asthma symptoms wheeze", US_national_yearly!$D:$AM, 27, FALSE) / VLOOKUP("electricity|SO2|Asthma symptoms wheeze", US_national_yearly!$D:$AM, 10, FALSE), 1)</f>
        <v>5.7671758818399034E-3</v>
      </c>
      <c r="T8" s="7">
        <f>$B8 * IFERROR(VLOOKUP("electricity|SO2|Asthma symptoms wheeze", US_national_yearly!$D:$AM, 28, FALSE) / VLOOKUP("electricity|SO2|Asthma symptoms wheeze", US_national_yearly!$D:$AM, 10, FALSE), 1)</f>
        <v>5.7671758818399034E-3</v>
      </c>
      <c r="U8" s="7">
        <f>$B8 * IFERROR(VLOOKUP("electricity|SO2|Asthma symptoms wheeze", US_national_yearly!$D:$AM, 29, FALSE) / VLOOKUP("electricity|SO2|Asthma symptoms wheeze", US_national_yearly!$D:$AM, 10, FALSE), 1)</f>
        <v>5.7671758818399034E-3</v>
      </c>
      <c r="V8" s="7">
        <f>$B8 * IFERROR(VLOOKUP("electricity|SO2|Asthma symptoms wheeze", US_national_yearly!$D:$AM, 30, FALSE) / VLOOKUP("electricity|SO2|Asthma symptoms wheeze", US_national_yearly!$D:$AM, 10, FALSE), 1)</f>
        <v>5.7671758818399034E-3</v>
      </c>
      <c r="W8" s="7">
        <f>$B8 * IFERROR(VLOOKUP("electricity|SO2|Asthma symptoms wheeze", US_national_yearly!$D:$AM, 31, FALSE) / VLOOKUP("electricity|SO2|Asthma symptoms wheeze", US_national_yearly!$D:$AM, 10, FALSE), 1)</f>
        <v>5.7671758818399034E-3</v>
      </c>
      <c r="X8" s="7">
        <f>$B8 * IFERROR(VLOOKUP("electricity|SO2|Asthma symptoms wheeze", US_national_yearly!$D:$AM, 32, FALSE) / VLOOKUP("electricity|SO2|Asthma symptoms wheeze", US_national_yearly!$D:$AM, 10, FALSE), 1)</f>
        <v>5.7671758818399034E-3</v>
      </c>
      <c r="Y8" s="7">
        <f>$B8 * IFERROR(VLOOKUP("electricity|SO2|Asthma symptoms wheeze", US_national_yearly!$D:$AM, 33, FALSE) / VLOOKUP("electricity|SO2|Asthma symptoms wheeze", US_national_yearly!$D:$AM, 10, FALSE), 1)</f>
        <v>5.7671758818399034E-3</v>
      </c>
      <c r="Z8" s="7">
        <f>$B8 * IFERROR(VLOOKUP("electricity|SO2|Asthma symptoms wheeze", US_national_yearly!$D:$AM, 34, FALSE) / VLOOKUP("electricity|SO2|Asthma symptoms wheeze", US_national_yearly!$D:$AM, 10, FALSE), 1)</f>
        <v>5.7671758818399034E-3</v>
      </c>
      <c r="AA8" s="7">
        <f>$B8 * IFERROR(VLOOKUP("electricity|SO2|Asthma symptoms wheeze", US_national_yearly!$D:$AM, 35, FALSE) / VLOOKUP("electricity|SO2|Asthma symptoms wheeze", US_national_yearly!$D:$AM, 10, FALSE), 1)</f>
        <v>5.7671758818399034E-3</v>
      </c>
      <c r="AB8" s="7">
        <f>$B8 * IFERROR(VLOOKUP("electricity|SO2|Asthma symptoms wheeze", US_national_yearly!$D:$AM, 36, FALSE) / VLOOKUP("electricity|SO2|Asthma symptoms wheeze", US_national_yearly!$D:$AM, 10, FALSE), 1)</f>
        <v>5.7671758818399034E-3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8.6478218828144252E-5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8.6987543619427928E-5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8.7496868410711617E-5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8.8006193201995293E-5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8.8515517993278996E-5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8.9070526958642655E-5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8.9625535924006341E-5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9.0159462659706297E-5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9.0693389395406281E-5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9.1227316131106264E-5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9.176124286680622E-5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9.2295169602506203E-5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9.2678134107658175E-5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9.3061098612810174E-5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9.3444063117962159E-5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9.3827027623114131E-5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9.420999212826613E-5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9.4571454249073455E-5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9.4932916369880793E-5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9.5294378490688104E-5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9.5655840611495442E-5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9.6017302732302794E-5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9.6364063082895611E-5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9.6710823433488456E-5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9.7057583784081314E-5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9.7404344134674131E-5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9.7751104485266989E-5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4.2095103380671727E-4</v>
      </c>
      <c r="C13" s="7">
        <f>$B13 * IFERROR(VLOOKUP("electricity|SO2|Non-fatal heart attacks", US_national_yearly!$D:$AM, 11, FALSE) / VLOOKUP("electricity|SO2|Non-fatal heart attacks", US_national_yearly!$D:$AM, 10, FALSE), 1)</f>
        <v>4.3335038624640166E-4</v>
      </c>
      <c r="D13" s="7">
        <f>$B13 * IFERROR(VLOOKUP("electricity|SO2|Non-fatal heart attacks", US_national_yearly!$D:$AM, 12, FALSE) / VLOOKUP("electricity|SO2|Non-fatal heart attacks", US_national_yearly!$D:$AM, 10, FALSE), 1)</f>
        <v>4.4574973868608583E-4</v>
      </c>
      <c r="E13" s="7">
        <f>$B13 * IFERROR(VLOOKUP("electricity|SO2|Non-fatal heart attacks", US_national_yearly!$D:$AM, 13, FALSE) / VLOOKUP("electricity|SO2|Non-fatal heart attacks", US_national_yearly!$D:$AM, 10, FALSE), 1)</f>
        <v>4.5814909112577021E-4</v>
      </c>
      <c r="F13" s="7">
        <f>$B13 * IFERROR(VLOOKUP("electricity|SO2|Non-fatal heart attacks", US_national_yearly!$D:$AM, 14, FALSE) / VLOOKUP("electricity|SO2|Non-fatal heart attacks", US_national_yearly!$D:$AM, 10, FALSE), 1)</f>
        <v>4.7054844356545449E-4</v>
      </c>
      <c r="G13" s="7">
        <f>$B13 * IFERROR(VLOOKUP("electricity|SO2|Non-fatal heart attacks", US_national_yearly!$D:$AM, 15, FALSE) / VLOOKUP("electricity|SO2|Non-fatal heart attacks", US_national_yearly!$D:$AM, 10, FALSE), 1)</f>
        <v>4.8231580104927572E-4</v>
      </c>
      <c r="H13" s="7">
        <f>$B13 * IFERROR(VLOOKUP("electricity|SO2|Non-fatal heart attacks", US_national_yearly!$D:$AM, 16, FALSE) / VLOOKUP("electricity|SO2|Non-fatal heart attacks", US_national_yearly!$D:$AM, 10, FALSE), 1)</f>
        <v>4.94083158533097E-4</v>
      </c>
      <c r="I13" s="7">
        <f>$B13 * IFERROR(VLOOKUP("electricity|SO2|Non-fatal heart attacks", US_national_yearly!$D:$AM, 17, FALSE) / VLOOKUP("electricity|SO2|Non-fatal heart attacks", US_national_yearly!$D:$AM, 10, FALSE), 1)</f>
        <v>5.0366632429107701E-4</v>
      </c>
      <c r="J13" s="7">
        <f>$B13 * IFERROR(VLOOKUP("electricity|SO2|Non-fatal heart attacks", US_national_yearly!$D:$AM, 18, FALSE) / VLOOKUP("electricity|SO2|Non-fatal heart attacks", US_national_yearly!$D:$AM, 10, FALSE), 1)</f>
        <v>5.1324949004905691E-4</v>
      </c>
      <c r="K13" s="7">
        <f>$B13 * IFERROR(VLOOKUP("electricity|SO2|Non-fatal heart attacks", US_national_yearly!$D:$AM, 19, FALSE) / VLOOKUP("electricity|SO2|Non-fatal heart attacks", US_national_yearly!$D:$AM, 10, FALSE), 1)</f>
        <v>5.2283265580703692E-4</v>
      </c>
      <c r="L13" s="7">
        <f>$B13 * IFERROR(VLOOKUP("electricity|SO2|Non-fatal heart attacks", US_national_yearly!$D:$AM, 20, FALSE) / VLOOKUP("electricity|SO2|Non-fatal heart attacks", US_national_yearly!$D:$AM, 10, FALSE), 1)</f>
        <v>5.3241582156501681E-4</v>
      </c>
      <c r="M13" s="7">
        <f>$B13 * IFERROR(VLOOKUP("electricity|SO2|Non-fatal heart attacks", US_national_yearly!$D:$AM, 21, FALSE) / VLOOKUP("electricity|SO2|Non-fatal heart attacks", US_national_yearly!$D:$AM, 10, FALSE), 1)</f>
        <v>5.4199898732299682E-4</v>
      </c>
      <c r="N13" s="7">
        <f>$B13 * IFERROR(VLOOKUP("electricity|SO2|Non-fatal heart attacks", US_national_yearly!$D:$AM, 22, FALSE) / VLOOKUP("electricity|SO2|Non-fatal heart attacks", US_national_yearly!$D:$AM, 10, FALSE), 1)</f>
        <v>5.4831863397982817E-4</v>
      </c>
      <c r="O13" s="7">
        <f>$B13 * IFERROR(VLOOKUP("electricity|SO2|Non-fatal heart attacks", US_national_yearly!$D:$AM, 23, FALSE) / VLOOKUP("electricity|SO2|Non-fatal heart attacks", US_national_yearly!$D:$AM, 10, FALSE), 1)</f>
        <v>5.5463828063665951E-4</v>
      </c>
      <c r="P13" s="7">
        <f>$B13 * IFERROR(VLOOKUP("electricity|SO2|Non-fatal heart attacks", US_national_yearly!$D:$AM, 24, FALSE) / VLOOKUP("electricity|SO2|Non-fatal heart attacks", US_national_yearly!$D:$AM, 10, FALSE), 1)</f>
        <v>5.6095792729349086E-4</v>
      </c>
      <c r="Q13" s="7">
        <f>$B13 * IFERROR(VLOOKUP("electricity|SO2|Non-fatal heart attacks", US_national_yearly!$D:$AM, 25, FALSE) / VLOOKUP("electricity|SO2|Non-fatal heart attacks", US_national_yearly!$D:$AM, 10, FALSE), 1)</f>
        <v>5.672775739503222E-4</v>
      </c>
      <c r="R13" s="7">
        <f>$B13 * IFERROR(VLOOKUP("electricity|SO2|Non-fatal heart attacks", US_national_yearly!$D:$AM, 26, FALSE) / VLOOKUP("electricity|SO2|Non-fatal heart attacks", US_national_yearly!$D:$AM, 10, FALSE), 1)</f>
        <v>5.7359722060715366E-4</v>
      </c>
      <c r="S13" s="7">
        <f>$B13 * IFERROR(VLOOKUP("electricity|SO2|Non-fatal heart attacks", US_national_yearly!$D:$AM, 27, FALSE) / VLOOKUP("electricity|SO2|Non-fatal heart attacks", US_national_yearly!$D:$AM, 10, FALSE), 1)</f>
        <v>5.7703622192901126E-4</v>
      </c>
      <c r="T13" s="7">
        <f>$B13 * IFERROR(VLOOKUP("electricity|SO2|Non-fatal heart attacks", US_national_yearly!$D:$AM, 28, FALSE) / VLOOKUP("electricity|SO2|Non-fatal heart attacks", US_national_yearly!$D:$AM, 10, FALSE), 1)</f>
        <v>5.8047522325086896E-4</v>
      </c>
      <c r="U13" s="7">
        <f>$B13 * IFERROR(VLOOKUP("electricity|SO2|Non-fatal heart attacks", US_national_yearly!$D:$AM, 29, FALSE) / VLOOKUP("electricity|SO2|Non-fatal heart attacks", US_national_yearly!$D:$AM, 10, FALSE), 1)</f>
        <v>5.8391422457272667E-4</v>
      </c>
      <c r="V13" s="7">
        <f>$B13 * IFERROR(VLOOKUP("electricity|SO2|Non-fatal heart attacks", US_national_yearly!$D:$AM, 30, FALSE) / VLOOKUP("electricity|SO2|Non-fatal heart attacks", US_national_yearly!$D:$AM, 10, FALSE), 1)</f>
        <v>5.8735322589458427E-4</v>
      </c>
      <c r="W13" s="7">
        <f>$B13 * IFERROR(VLOOKUP("electricity|SO2|Non-fatal heart attacks", US_national_yearly!$D:$AM, 31, FALSE) / VLOOKUP("electricity|SO2|Non-fatal heart attacks", US_national_yearly!$D:$AM, 10, FALSE), 1)</f>
        <v>5.9079222721644198E-4</v>
      </c>
      <c r="X13" s="7">
        <f>$B13 * IFERROR(VLOOKUP("electricity|SO2|Non-fatal heart attacks", US_national_yearly!$D:$AM, 32, FALSE) / VLOOKUP("electricity|SO2|Non-fatal heart attacks", US_national_yearly!$D:$AM, 10, FALSE), 1)</f>
        <v>5.9343395435886535E-4</v>
      </c>
      <c r="Y13" s="7">
        <f>$B13 * IFERROR(VLOOKUP("electricity|SO2|Non-fatal heart attacks", US_national_yearly!$D:$AM, 33, FALSE) / VLOOKUP("electricity|SO2|Non-fatal heart attacks", US_national_yearly!$D:$AM, 10, FALSE), 1)</f>
        <v>5.9607568150128883E-4</v>
      </c>
      <c r="Z13" s="7">
        <f>$B13 * IFERROR(VLOOKUP("electricity|SO2|Non-fatal heart attacks", US_national_yearly!$D:$AM, 34, FALSE) / VLOOKUP("electricity|SO2|Non-fatal heart attacks", US_national_yearly!$D:$AM, 10, FALSE), 1)</f>
        <v>5.9871740864371221E-4</v>
      </c>
      <c r="AA13" s="7">
        <f>$B13 * IFERROR(VLOOKUP("electricity|SO2|Non-fatal heart attacks", US_national_yearly!$D:$AM, 35, FALSE) / VLOOKUP("electricity|SO2|Non-fatal heart attacks", US_national_yearly!$D:$AM, 10, FALSE), 1)</f>
        <v>6.0135913578613558E-4</v>
      </c>
      <c r="AB13" s="7">
        <f>$B13 * IFERROR(VLOOKUP("electricity|SO2|Non-fatal heart attacks", US_national_yearly!$D:$AM, 36, FALSE) / VLOOKUP("electricity|SO2|Non-fatal heart attacks", US_national_yearly!$D:$AM, 10, FALSE), 1)</f>
        <v>6.0400086292855895E-4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0.38661665382738108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0.38758820298368962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0.38855975213999816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0.38953130129630681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0.39050285045261529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0.39190652894090133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0.39331020742918738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0.39571762410746908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0.39812504078575084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0.40053245746403254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0.40293987414231441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0.40534729082059612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0.40866265133177532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0.41197801184295446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0.41529337235413361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0.4186087328653128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0.42192409337649195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0.42532286059555435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0.42872162781461676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0.43212039503367905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0.43551916225274145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0.43891792947180386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0.44190847212838957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0.44489901478497518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0.44788955744156078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0.4508801000981465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0.4538706427547321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6.5783108484698274E-2</v>
      </c>
      <c r="C15" s="7">
        <f>$B15 * IFERROR(VLOOKUP("electricity|SO2|Work loss days", US_national_yearly!$D:$AM, 11, FALSE) / VLOOKUP("electricity|SO2|Work loss days", US_national_yearly!$D:$AM, 10, FALSE), 1)</f>
        <v>6.5996116179461592E-2</v>
      </c>
      <c r="D15" s="7">
        <f>$B15 * IFERROR(VLOOKUP("electricity|SO2|Work loss days", US_national_yearly!$D:$AM, 12, FALSE) / VLOOKUP("electricity|SO2|Work loss days", US_national_yearly!$D:$AM, 10, FALSE), 1)</f>
        <v>6.6209123874224909E-2</v>
      </c>
      <c r="E15" s="7">
        <f>$B15 * IFERROR(VLOOKUP("electricity|SO2|Work loss days", US_national_yearly!$D:$AM, 13, FALSE) / VLOOKUP("electricity|SO2|Work loss days", US_national_yearly!$D:$AM, 10, FALSE), 1)</f>
        <v>6.6422131568988255E-2</v>
      </c>
      <c r="F15" s="7">
        <f>$B15 * IFERROR(VLOOKUP("electricity|SO2|Work loss days", US_national_yearly!$D:$AM, 14, FALSE) / VLOOKUP("electricity|SO2|Work loss days", US_national_yearly!$D:$AM, 10, FALSE), 1)</f>
        <v>6.6635139263751572E-2</v>
      </c>
      <c r="G15" s="7">
        <f>$B15 * IFERROR(VLOOKUP("electricity|SO2|Work loss days", US_national_yearly!$D:$AM, 15, FALSE) / VLOOKUP("electricity|SO2|Work loss days", US_national_yearly!$D:$AM, 10, FALSE), 1)</f>
        <v>6.69080153195412E-2</v>
      </c>
      <c r="H15" s="7">
        <f>$B15 * IFERROR(VLOOKUP("electricity|SO2|Work loss days", US_national_yearly!$D:$AM, 16, FALSE) / VLOOKUP("electricity|SO2|Work loss days", US_national_yearly!$D:$AM, 10, FALSE), 1)</f>
        <v>6.7180891375330842E-2</v>
      </c>
      <c r="I15" s="7">
        <f>$B15 * IFERROR(VLOOKUP("electricity|SO2|Work loss days", US_national_yearly!$D:$AM, 17, FALSE) / VLOOKUP("electricity|SO2|Work loss days", US_national_yearly!$D:$AM, 10, FALSE), 1)</f>
        <v>6.7580141143104705E-2</v>
      </c>
      <c r="J15" s="7">
        <f>$B15 * IFERROR(VLOOKUP("electricity|SO2|Work loss days", US_national_yearly!$D:$AM, 18, FALSE) / VLOOKUP("electricity|SO2|Work loss days", US_national_yearly!$D:$AM, 10, FALSE), 1)</f>
        <v>6.7979390910878568E-2</v>
      </c>
      <c r="K15" s="7">
        <f>$B15 * IFERROR(VLOOKUP("electricity|SO2|Work loss days", US_national_yearly!$D:$AM, 19, FALSE) / VLOOKUP("electricity|SO2|Work loss days", US_national_yearly!$D:$AM, 10, FALSE), 1)</f>
        <v>6.8378640678652444E-2</v>
      </c>
      <c r="L15" s="7">
        <f>$B15 * IFERROR(VLOOKUP("electricity|SO2|Work loss days", US_national_yearly!$D:$AM, 20, FALSE) / VLOOKUP("electricity|SO2|Work loss days", US_national_yearly!$D:$AM, 10, FALSE), 1)</f>
        <v>6.8777890446426293E-2</v>
      </c>
      <c r="M15" s="7">
        <f>$B15 * IFERROR(VLOOKUP("electricity|SO2|Work loss days", US_national_yearly!$D:$AM, 21, FALSE) / VLOOKUP("electricity|SO2|Work loss days", US_national_yearly!$D:$AM, 10, FALSE), 1)</f>
        <v>6.9177140214200183E-2</v>
      </c>
      <c r="N15" s="7">
        <f>$B15 * IFERROR(VLOOKUP("electricity|SO2|Work loss days", US_national_yearly!$D:$AM, 22, FALSE) / VLOOKUP("electricity|SO2|Work loss days", US_national_yearly!$D:$AM, 10, FALSE), 1)</f>
        <v>6.9682290461552068E-2</v>
      </c>
      <c r="O15" s="7">
        <f>$B15 * IFERROR(VLOOKUP("electricity|SO2|Work loss days", US_national_yearly!$D:$AM, 23, FALSE) / VLOOKUP("electricity|SO2|Work loss days", US_national_yearly!$D:$AM, 10, FALSE), 1)</f>
        <v>7.0187440708903967E-2</v>
      </c>
      <c r="P15" s="7">
        <f>$B15 * IFERROR(VLOOKUP("electricity|SO2|Work loss days", US_national_yearly!$D:$AM, 24, FALSE) / VLOOKUP("electricity|SO2|Work loss days", US_national_yearly!$D:$AM, 10, FALSE), 1)</f>
        <v>7.069259095625588E-2</v>
      </c>
      <c r="Q15" s="7">
        <f>$B15 * IFERROR(VLOOKUP("electricity|SO2|Work loss days", US_national_yearly!$D:$AM, 25, FALSE) / VLOOKUP("electricity|SO2|Work loss days", US_national_yearly!$D:$AM, 10, FALSE), 1)</f>
        <v>7.1197741203607764E-2</v>
      </c>
      <c r="R15" s="7">
        <f>$B15 * IFERROR(VLOOKUP("electricity|SO2|Work loss days", US_national_yearly!$D:$AM, 26, FALSE) / VLOOKUP("electricity|SO2|Work loss days", US_national_yearly!$D:$AM, 10, FALSE), 1)</f>
        <v>7.1702891450959663E-2</v>
      </c>
      <c r="S15" s="7">
        <f>$B15 * IFERROR(VLOOKUP("electricity|SO2|Work loss days", US_national_yearly!$D:$AM, 27, FALSE) / VLOOKUP("electricity|SO2|Work loss days", US_national_yearly!$D:$AM, 10, FALSE), 1)</f>
        <v>7.2269212017378751E-2</v>
      </c>
      <c r="T15" s="7">
        <f>$B15 * IFERROR(VLOOKUP("electricity|SO2|Work loss days", US_national_yearly!$D:$AM, 28, FALSE) / VLOOKUP("electricity|SO2|Work loss days", US_national_yearly!$D:$AM, 10, FALSE), 1)</f>
        <v>7.2835532583797852E-2</v>
      </c>
      <c r="U15" s="7">
        <f>$B15 * IFERROR(VLOOKUP("electricity|SO2|Work loss days", US_national_yearly!$D:$AM, 29, FALSE) / VLOOKUP("electricity|SO2|Work loss days", US_national_yearly!$D:$AM, 10, FALSE), 1)</f>
        <v>7.3401853150216953E-2</v>
      </c>
      <c r="V15" s="7">
        <f>$B15 * IFERROR(VLOOKUP("electricity|SO2|Work loss days", US_national_yearly!$D:$AM, 30, FALSE) / VLOOKUP("electricity|SO2|Work loss days", US_national_yearly!$D:$AM, 10, FALSE), 1)</f>
        <v>7.396817371663604E-2</v>
      </c>
      <c r="W15" s="7">
        <f>$B15 * IFERROR(VLOOKUP("electricity|SO2|Work loss days", US_national_yearly!$D:$AM, 31, FALSE) / VLOOKUP("electricity|SO2|Work loss days", US_national_yearly!$D:$AM, 10, FALSE), 1)</f>
        <v>7.4534494283055142E-2</v>
      </c>
      <c r="X15" s="7">
        <f>$B15 * IFERROR(VLOOKUP("electricity|SO2|Work loss days", US_national_yearly!$D:$AM, 32, FALSE) / VLOOKUP("electricity|SO2|Work loss days", US_national_yearly!$D:$AM, 10, FALSE), 1)</f>
        <v>7.5044693100968354E-2</v>
      </c>
      <c r="Y15" s="7">
        <f>$B15 * IFERROR(VLOOKUP("electricity|SO2|Work loss days", US_national_yearly!$D:$AM, 33, FALSE) / VLOOKUP("electricity|SO2|Work loss days", US_national_yearly!$D:$AM, 10, FALSE), 1)</f>
        <v>7.5554891918881553E-2</v>
      </c>
      <c r="Z15" s="7">
        <f>$B15 * IFERROR(VLOOKUP("electricity|SO2|Work loss days", US_national_yearly!$D:$AM, 34, FALSE) / VLOOKUP("electricity|SO2|Work loss days", US_national_yearly!$D:$AM, 10, FALSE), 1)</f>
        <v>7.6065090736794738E-2</v>
      </c>
      <c r="AA15" s="7">
        <f>$B15 * IFERROR(VLOOKUP("electricity|SO2|Work loss days", US_national_yearly!$D:$AM, 35, FALSE) / VLOOKUP("electricity|SO2|Work loss days", US_national_yearly!$D:$AM, 10, FALSE), 1)</f>
        <v>7.6575289554707951E-2</v>
      </c>
      <c r="AB15" s="7">
        <f>$B15 * IFERROR(VLOOKUP("electricity|SO2|Work loss days", US_national_yearly!$D:$AM, 36, FALSE) / VLOOKUP("electricity|SO2|Work loss days", US_national_yearly!$D:$AM, 10, FALSE), 1)</f>
        <v>7.708548837262115E-2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9.7706179039684028E-5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1.0066694787037296E-4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1.0362771670106188E-4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1.0658848553175082E-4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1.0954925436243975E-4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1.1240324685044572E-4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1.1525723933845172E-4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1.1772805633615598E-4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1.2019887333386023E-4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1.2266969033156448E-4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1.2514050732926872E-4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1.2761132432697296E-4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1.2929765034042046E-4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1.3098397635386794E-4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1.326703023673155E-4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1.3435662838076298E-4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1.3604295439421045E-4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1.3696742920720875E-4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1.3789190402020699E-4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1.3881637883320528E-4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1.3974085364620352E-4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1.4066532845920178E-4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1.4130348216344487E-4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1.4194163586768793E-4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1.4257978957193102E-4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1.4321794327617411E-4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1.4385609698041717E-4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7.7649661745496212E-3</v>
      </c>
      <c r="C2" s="7">
        <f>$B2 * IFERROR(VLOOKUP("buildings|PM25|Premature mortality", US_national_yearly!$D:$AM, 11, FALSE) / VLOOKUP("buildings|PM25|Premature mortality", US_national_yearly!$D:$AM, 10, FALSE), 1)</f>
        <v>7.8613044669308425E-3</v>
      </c>
      <c r="D2" s="7">
        <f>$B2 * IFERROR(VLOOKUP("buildings|PM25|Premature mortality", US_national_yearly!$D:$AM, 12, FALSE) / VLOOKUP("buildings|PM25|Premature mortality", US_national_yearly!$D:$AM, 10, FALSE), 1)</f>
        <v>7.9576427593120638E-3</v>
      </c>
      <c r="E2" s="7">
        <f>$B2 * IFERROR(VLOOKUP("buildings|PM25|Premature mortality", US_national_yearly!$D:$AM, 13, FALSE) / VLOOKUP("buildings|PM25|Premature mortality", US_national_yearly!$D:$AM, 10, FALSE), 1)</f>
        <v>8.0539810516932868E-3</v>
      </c>
      <c r="F2" s="7">
        <f>$B2 * IFERROR(VLOOKUP("buildings|PM25|Premature mortality", US_national_yearly!$D:$AM, 14, FALSE) / VLOOKUP("buildings|PM25|Premature mortality", US_national_yearly!$D:$AM, 10, FALSE), 1)</f>
        <v>8.1503193440745081E-3</v>
      </c>
      <c r="G2" s="7">
        <f>$B2 * IFERROR(VLOOKUP("buildings|PM25|Premature mortality", US_national_yearly!$D:$AM, 15, FALSE) / VLOOKUP("buildings|PM25|Premature mortality", US_national_yearly!$D:$AM, 10, FALSE), 1)</f>
        <v>8.3379097555381105E-3</v>
      </c>
      <c r="H2" s="7">
        <f>$B2 * IFERROR(VLOOKUP("buildings|PM25|Premature mortality", US_national_yearly!$D:$AM, 16, FALSE) / VLOOKUP("buildings|PM25|Premature mortality", US_national_yearly!$D:$AM, 10, FALSE), 1)</f>
        <v>8.5255001670017129E-3</v>
      </c>
      <c r="I2" s="7">
        <f>$B2 * IFERROR(VLOOKUP("buildings|PM25|Premature mortality", US_national_yearly!$D:$AM, 17, FALSE) / VLOOKUP("buildings|PM25|Premature mortality", US_national_yearly!$D:$AM, 10, FALSE), 1)</f>
        <v>8.6488751495574119E-3</v>
      </c>
      <c r="J2" s="7">
        <f>$B2 * IFERROR(VLOOKUP("buildings|PM25|Premature mortality", US_national_yearly!$D:$AM, 18, FALSE) / VLOOKUP("buildings|PM25|Premature mortality", US_national_yearly!$D:$AM, 10, FALSE), 1)</f>
        <v>8.7722501321131092E-3</v>
      </c>
      <c r="K2" s="7">
        <f>$B2 * IFERROR(VLOOKUP("buildings|PM25|Premature mortality", US_national_yearly!$D:$AM, 19, FALSE) / VLOOKUP("buildings|PM25|Premature mortality", US_national_yearly!$D:$AM, 10, FALSE), 1)</f>
        <v>8.8956251146688082E-3</v>
      </c>
      <c r="L2" s="7">
        <f>$B2 * IFERROR(VLOOKUP("buildings|PM25|Premature mortality", US_national_yearly!$D:$AM, 20, FALSE) / VLOOKUP("buildings|PM25|Premature mortality", US_national_yearly!$D:$AM, 10, FALSE), 1)</f>
        <v>9.0190000972245055E-3</v>
      </c>
      <c r="M2" s="7">
        <f>$B2 * IFERROR(VLOOKUP("buildings|PM25|Premature mortality", US_national_yearly!$D:$AM, 21, FALSE) / VLOOKUP("buildings|PM25|Premature mortality", US_national_yearly!$D:$AM, 10, FALSE), 1)</f>
        <v>9.1423750797802027E-3</v>
      </c>
      <c r="N2" s="7">
        <f>$B2 * IFERROR(VLOOKUP("buildings|PM25|Premature mortality", US_national_yearly!$D:$AM, 22, FALSE) / VLOOKUP("buildings|PM25|Premature mortality", US_national_yearly!$D:$AM, 10, FALSE), 1)</f>
        <v>9.2383128408363973E-3</v>
      </c>
      <c r="O2" s="7">
        <f>$B2 * IFERROR(VLOOKUP("buildings|PM25|Premature mortality", US_national_yearly!$D:$AM, 23, FALSE) / VLOOKUP("buildings|PM25|Premature mortality", US_national_yearly!$D:$AM, 10, FALSE), 1)</f>
        <v>9.3342506018925936E-3</v>
      </c>
      <c r="P2" s="7">
        <f>$B2 * IFERROR(VLOOKUP("buildings|PM25|Premature mortality", US_national_yearly!$D:$AM, 24, FALSE) / VLOOKUP("buildings|PM25|Premature mortality", US_national_yearly!$D:$AM, 10, FALSE), 1)</f>
        <v>9.4301883629487881E-3</v>
      </c>
      <c r="Q2" s="7">
        <f>$B2 * IFERROR(VLOOKUP("buildings|PM25|Premature mortality", US_national_yearly!$D:$AM, 25, FALSE) / VLOOKUP("buildings|PM25|Premature mortality", US_national_yearly!$D:$AM, 10, FALSE), 1)</f>
        <v>9.5261261240049844E-3</v>
      </c>
      <c r="R2" s="7">
        <f>$B2 * IFERROR(VLOOKUP("buildings|PM25|Premature mortality", US_national_yearly!$D:$AM, 26, FALSE) / VLOOKUP("buildings|PM25|Premature mortality", US_national_yearly!$D:$AM, 10, FALSE), 1)</f>
        <v>9.622063885061179E-3</v>
      </c>
      <c r="S2" s="7">
        <f>$B2 * IFERROR(VLOOKUP("buildings|PM25|Premature mortality", US_national_yearly!$D:$AM, 27, FALSE) / VLOOKUP("buildings|PM25|Premature mortality", US_national_yearly!$D:$AM, 10, FALSE), 1)</f>
        <v>9.6730557580005996E-3</v>
      </c>
      <c r="T2" s="7">
        <f>$B2 * IFERROR(VLOOKUP("buildings|PM25|Premature mortality", US_national_yearly!$D:$AM, 28, FALSE) / VLOOKUP("buildings|PM25|Premature mortality", US_national_yearly!$D:$AM, 10, FALSE), 1)</f>
        <v>9.724047630940022E-3</v>
      </c>
      <c r="U2" s="7">
        <f>$B2 * IFERROR(VLOOKUP("buildings|PM25|Premature mortality", US_national_yearly!$D:$AM, 29, FALSE) / VLOOKUP("buildings|PM25|Premature mortality", US_national_yearly!$D:$AM, 10, FALSE), 1)</f>
        <v>9.7750395038794444E-3</v>
      </c>
      <c r="V2" s="7">
        <f>$B2 * IFERROR(VLOOKUP("buildings|PM25|Premature mortality", US_national_yearly!$D:$AM, 30, FALSE) / VLOOKUP("buildings|PM25|Premature mortality", US_national_yearly!$D:$AM, 10, FALSE), 1)</f>
        <v>9.8260313768188667E-3</v>
      </c>
      <c r="W2" s="7">
        <f>$B2 * IFERROR(VLOOKUP("buildings|PM25|Premature mortality", US_national_yearly!$D:$AM, 31, FALSE) / VLOOKUP("buildings|PM25|Premature mortality", US_national_yearly!$D:$AM, 10, FALSE), 1)</f>
        <v>9.8770232497582874E-3</v>
      </c>
      <c r="X2" s="7">
        <f>$B2 * IFERROR(VLOOKUP("buildings|PM25|Premature mortality", US_national_yearly!$D:$AM, 32, FALSE) / VLOOKUP("buildings|PM25|Premature mortality", US_national_yearly!$D:$AM, 10, FALSE), 1)</f>
        <v>9.8861758815797281E-3</v>
      </c>
      <c r="Y2" s="7">
        <f>$B2 * IFERROR(VLOOKUP("buildings|PM25|Premature mortality", US_national_yearly!$D:$AM, 33, FALSE) / VLOOKUP("buildings|PM25|Premature mortality", US_national_yearly!$D:$AM, 10, FALSE), 1)</f>
        <v>9.8953285134011672E-3</v>
      </c>
      <c r="Z2" s="7">
        <f>$B2 * IFERROR(VLOOKUP("buildings|PM25|Premature mortality", US_national_yearly!$D:$AM, 34, FALSE) / VLOOKUP("buildings|PM25|Premature mortality", US_national_yearly!$D:$AM, 10, FALSE), 1)</f>
        <v>9.9044811452226097E-3</v>
      </c>
      <c r="AA2" s="7">
        <f>$B2 * IFERROR(VLOOKUP("buildings|PM25|Premature mortality", US_national_yearly!$D:$AM, 35, FALSE) / VLOOKUP("buildings|PM25|Premature mortality", US_national_yearly!$D:$AM, 10, FALSE), 1)</f>
        <v>9.9136337770440505E-3</v>
      </c>
      <c r="AB2" s="7">
        <f>$B2 * IFERROR(VLOOKUP("buildings|PM25|Premature mortality", US_national_yearly!$D:$AM, 36, FALSE) / VLOOKUP("buildings|PM25|Premature mortality", US_national_yearly!$D:$AM, 10, FALSE), 1)</f>
        <v>9.9227864088654895E-3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1.7310087087156292E-5</v>
      </c>
      <c r="C3" s="7">
        <f>$B3 * IFERROR(VLOOKUP("buildings|PM25|Infant mortality", US_national_yearly!$D:$AM, 11, FALSE) / VLOOKUP("buildings|PM25|Infant mortality", US_national_yearly!$D:$AM, 10, FALSE), 1)</f>
        <v>1.7160153731288463E-5</v>
      </c>
      <c r="D3" s="7">
        <f>$B3 * IFERROR(VLOOKUP("buildings|PM25|Infant mortality", US_national_yearly!$D:$AM, 12, FALSE) / VLOOKUP("buildings|PM25|Infant mortality", US_national_yearly!$D:$AM, 10, FALSE), 1)</f>
        <v>1.7010220375420635E-5</v>
      </c>
      <c r="E3" s="7">
        <f>$B3 * IFERROR(VLOOKUP("buildings|PM25|Infant mortality", US_national_yearly!$D:$AM, 13, FALSE) / VLOOKUP("buildings|PM25|Infant mortality", US_national_yearly!$D:$AM, 10, FALSE), 1)</f>
        <v>1.6860287019552807E-5</v>
      </c>
      <c r="F3" s="7">
        <f>$B3 * IFERROR(VLOOKUP("buildings|PM25|Infant mortality", US_national_yearly!$D:$AM, 14, FALSE) / VLOOKUP("buildings|PM25|Infant mortality", US_national_yearly!$D:$AM, 10, FALSE), 1)</f>
        <v>1.6710353663684978E-5</v>
      </c>
      <c r="G3" s="7">
        <f>$B3 * IFERROR(VLOOKUP("buildings|PM25|Infant mortality", US_national_yearly!$D:$AM, 15, FALSE) / VLOOKUP("buildings|PM25|Infant mortality", US_national_yearly!$D:$AM, 10, FALSE), 1)</f>
        <v>1.1111778948501922E-5</v>
      </c>
      <c r="H3" s="7">
        <f>$B3 * IFERROR(VLOOKUP("buildings|PM25|Infant mortality", US_national_yearly!$D:$AM, 16, FALSE) / VLOOKUP("buildings|PM25|Infant mortality", US_national_yearly!$D:$AM, 10, FALSE), 1)</f>
        <v>5.513204233318866E-6</v>
      </c>
      <c r="I3" s="7">
        <f>$B3 * IFERROR(VLOOKUP("buildings|PM25|Infant mortality", US_national_yearly!$D:$AM, 17, FALSE) / VLOOKUP("buildings|PM25|Infant mortality", US_national_yearly!$D:$AM, 10, FALSE), 1)</f>
        <v>5.4772779582089164E-6</v>
      </c>
      <c r="J3" s="7">
        <f>$B3 * IFERROR(VLOOKUP("buildings|PM25|Infant mortality", US_national_yearly!$D:$AM, 18, FALSE) / VLOOKUP("buildings|PM25|Infant mortality", US_national_yearly!$D:$AM, 10, FALSE), 1)</f>
        <v>5.4413516830989659E-6</v>
      </c>
      <c r="K3" s="7">
        <f>$B3 * IFERROR(VLOOKUP("buildings|PM25|Infant mortality", US_national_yearly!$D:$AM, 19, FALSE) / VLOOKUP("buildings|PM25|Infant mortality", US_national_yearly!$D:$AM, 10, FALSE), 1)</f>
        <v>5.4054254079890163E-6</v>
      </c>
      <c r="L3" s="7">
        <f>$B3 * IFERROR(VLOOKUP("buildings|PM25|Infant mortality", US_national_yearly!$D:$AM, 20, FALSE) / VLOOKUP("buildings|PM25|Infant mortality", US_national_yearly!$D:$AM, 10, FALSE), 1)</f>
        <v>5.3694991328790659E-6</v>
      </c>
      <c r="M3" s="7">
        <f>$B3 * IFERROR(VLOOKUP("buildings|PM25|Infant mortality", US_national_yearly!$D:$AM, 21, FALSE) / VLOOKUP("buildings|PM25|Infant mortality", US_national_yearly!$D:$AM, 10, FALSE), 1)</f>
        <v>5.3335728577691163E-6</v>
      </c>
      <c r="N3" s="7">
        <f>$B3 * IFERROR(VLOOKUP("buildings|PM25|Infant mortality", US_national_yearly!$D:$AM, 22, FALSE) / VLOOKUP("buildings|PM25|Infant mortality", US_national_yearly!$D:$AM, 10, FALSE), 1)</f>
        <v>5.3110939416150321E-6</v>
      </c>
      <c r="O3" s="7">
        <f>$B3 * IFERROR(VLOOKUP("buildings|PM25|Infant mortality", US_national_yearly!$D:$AM, 23, FALSE) / VLOOKUP("buildings|PM25|Infant mortality", US_national_yearly!$D:$AM, 10, FALSE), 1)</f>
        <v>5.2886150254609488E-6</v>
      </c>
      <c r="P3" s="7">
        <f>$B3 * IFERROR(VLOOKUP("buildings|PM25|Infant mortality", US_national_yearly!$D:$AM, 24, FALSE) / VLOOKUP("buildings|PM25|Infant mortality", US_national_yearly!$D:$AM, 10, FALSE), 1)</f>
        <v>5.2661361093068655E-6</v>
      </c>
      <c r="Q3" s="7">
        <f>$B3 * IFERROR(VLOOKUP("buildings|PM25|Infant mortality", US_national_yearly!$D:$AM, 25, FALSE) / VLOOKUP("buildings|PM25|Infant mortality", US_national_yearly!$D:$AM, 10, FALSE), 1)</f>
        <v>5.2436571931527814E-6</v>
      </c>
      <c r="R3" s="7">
        <f>$B3 * IFERROR(VLOOKUP("buildings|PM25|Infant mortality", US_national_yearly!$D:$AM, 26, FALSE) / VLOOKUP("buildings|PM25|Infant mortality", US_national_yearly!$D:$AM, 10, FALSE), 1)</f>
        <v>5.2211782769986981E-6</v>
      </c>
      <c r="S3" s="7">
        <f>$B3 * IFERROR(VLOOKUP("buildings|PM25|Infant mortality", US_national_yearly!$D:$AM, 27, FALSE) / VLOOKUP("buildings|PM25|Infant mortality", US_national_yearly!$D:$AM, 10, FALSE), 1)</f>
        <v>5.1931118044720128E-6</v>
      </c>
      <c r="T3" s="7">
        <f>$B3 * IFERROR(VLOOKUP("buildings|PM25|Infant mortality", US_national_yearly!$D:$AM, 28, FALSE) / VLOOKUP("buildings|PM25|Infant mortality", US_national_yearly!$D:$AM, 10, FALSE), 1)</f>
        <v>5.1650453319453285E-6</v>
      </c>
      <c r="U3" s="7">
        <f>$B3 * IFERROR(VLOOKUP("buildings|PM25|Infant mortality", US_national_yearly!$D:$AM, 29, FALSE) / VLOOKUP("buildings|PM25|Infant mortality", US_national_yearly!$D:$AM, 10, FALSE), 1)</f>
        <v>5.1369788594186416E-6</v>
      </c>
      <c r="V3" s="7">
        <f>$B3 * IFERROR(VLOOKUP("buildings|PM25|Infant mortality", US_national_yearly!$D:$AM, 30, FALSE) / VLOOKUP("buildings|PM25|Infant mortality", US_national_yearly!$D:$AM, 10, FALSE), 1)</f>
        <v>5.1089123868919572E-6</v>
      </c>
      <c r="W3" s="7">
        <f>$B3 * IFERROR(VLOOKUP("buildings|PM25|Infant mortality", US_national_yearly!$D:$AM, 31, FALSE) / VLOOKUP("buildings|PM25|Infant mortality", US_national_yearly!$D:$AM, 10, FALSE), 1)</f>
        <v>5.080845914365272E-6</v>
      </c>
      <c r="X3" s="7">
        <f>$B3 * IFERROR(VLOOKUP("buildings|PM25|Infant mortality", US_national_yearly!$D:$AM, 32, FALSE) / VLOOKUP("buildings|PM25|Infant mortality", US_national_yearly!$D:$AM, 10, FALSE), 1)</f>
        <v>5.0506287430243761E-6</v>
      </c>
      <c r="Y3" s="7">
        <f>$B3 * IFERROR(VLOOKUP("buildings|PM25|Infant mortality", US_national_yearly!$D:$AM, 33, FALSE) / VLOOKUP("buildings|PM25|Infant mortality", US_national_yearly!$D:$AM, 10, FALSE), 1)</f>
        <v>5.020411571683481E-6</v>
      </c>
      <c r="Z3" s="7">
        <f>$B3 * IFERROR(VLOOKUP("buildings|PM25|Infant mortality", US_national_yearly!$D:$AM, 34, FALSE) / VLOOKUP("buildings|PM25|Infant mortality", US_national_yearly!$D:$AM, 10, FALSE), 1)</f>
        <v>4.9901944003425843E-6</v>
      </c>
      <c r="AA3" s="7">
        <f>$B3 * IFERROR(VLOOKUP("buildings|PM25|Infant mortality", US_national_yearly!$D:$AM, 35, FALSE) / VLOOKUP("buildings|PM25|Infant mortality", US_national_yearly!$D:$AM, 10, FALSE), 1)</f>
        <v>4.9599772290016884E-6</v>
      </c>
      <c r="AB3" s="7">
        <f>$B3 * IFERROR(VLOOKUP("buildings|PM25|Infant mortality", US_national_yearly!$D:$AM, 36, FALSE) / VLOOKUP("buildings|PM25|Infant mortality", US_national_yearly!$D:$AM, 10, FALSE), 1)</f>
        <v>4.9297600576607933E-6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1.8669925880886673E-2</v>
      </c>
      <c r="C6" s="7">
        <f>$B6 * IFERROR(VLOOKUP("buildings|PM25|Asthma symptoms cough", US_national_yearly!$D:$AM, 11, FALSE) / VLOOKUP("buildings|PM25|Asthma symptoms cough", US_national_yearly!$D:$AM, 10, FALSE), 1)</f>
        <v>1.8669925880886673E-2</v>
      </c>
      <c r="D6" s="7">
        <f>$B6 * IFERROR(VLOOKUP("buildings|PM25|Asthma symptoms cough", US_national_yearly!$D:$AM, 12, FALSE) / VLOOKUP("buildings|PM25|Asthma symptoms cough", US_national_yearly!$D:$AM, 10, FALSE), 1)</f>
        <v>1.8669925880886673E-2</v>
      </c>
      <c r="E6" s="7">
        <f>$B6 * IFERROR(VLOOKUP("buildings|PM25|Asthma symptoms cough", US_national_yearly!$D:$AM, 13, FALSE) / VLOOKUP("buildings|PM25|Asthma symptoms cough", US_national_yearly!$D:$AM, 10, FALSE), 1)</f>
        <v>1.8669925880886673E-2</v>
      </c>
      <c r="F6" s="7">
        <f>$B6 * IFERROR(VLOOKUP("buildings|PM25|Asthma symptoms cough", US_national_yearly!$D:$AM, 14, FALSE) / VLOOKUP("buildings|PM25|Asthma symptoms cough", US_national_yearly!$D:$AM, 10, FALSE), 1)</f>
        <v>1.8669925880886673E-2</v>
      </c>
      <c r="G6" s="7">
        <f>$B6 * IFERROR(VLOOKUP("buildings|PM25|Asthma symptoms cough", US_national_yearly!$D:$AM, 15, FALSE) / VLOOKUP("buildings|PM25|Asthma symptoms cough", US_national_yearly!$D:$AM, 10, FALSE), 1)</f>
        <v>1.8669925880886673E-2</v>
      </c>
      <c r="H6" s="7">
        <f>$B6 * IFERROR(VLOOKUP("buildings|PM25|Asthma symptoms cough", US_national_yearly!$D:$AM, 16, FALSE) / VLOOKUP("buildings|PM25|Asthma symptoms cough", US_national_yearly!$D:$AM, 10, FALSE), 1)</f>
        <v>1.8669925880886673E-2</v>
      </c>
      <c r="I6" s="7">
        <f>$B6 * IFERROR(VLOOKUP("buildings|PM25|Asthma symptoms cough", US_national_yearly!$D:$AM, 17, FALSE) / VLOOKUP("buildings|PM25|Asthma symptoms cough", US_national_yearly!$D:$AM, 10, FALSE), 1)</f>
        <v>1.8669925880886673E-2</v>
      </c>
      <c r="J6" s="7">
        <f>$B6 * IFERROR(VLOOKUP("buildings|PM25|Asthma symptoms cough", US_national_yearly!$D:$AM, 18, FALSE) / VLOOKUP("buildings|PM25|Asthma symptoms cough", US_national_yearly!$D:$AM, 10, FALSE), 1)</f>
        <v>1.8669925880886673E-2</v>
      </c>
      <c r="K6" s="7">
        <f>$B6 * IFERROR(VLOOKUP("buildings|PM25|Asthma symptoms cough", US_national_yearly!$D:$AM, 19, FALSE) / VLOOKUP("buildings|PM25|Asthma symptoms cough", US_national_yearly!$D:$AM, 10, FALSE), 1)</f>
        <v>1.8669925880886673E-2</v>
      </c>
      <c r="L6" s="7">
        <f>$B6 * IFERROR(VLOOKUP("buildings|PM25|Asthma symptoms cough", US_national_yearly!$D:$AM, 20, FALSE) / VLOOKUP("buildings|PM25|Asthma symptoms cough", US_national_yearly!$D:$AM, 10, FALSE), 1)</f>
        <v>1.8669925880886673E-2</v>
      </c>
      <c r="M6" s="7">
        <f>$B6 * IFERROR(VLOOKUP("buildings|PM25|Asthma symptoms cough", US_national_yearly!$D:$AM, 21, FALSE) / VLOOKUP("buildings|PM25|Asthma symptoms cough", US_national_yearly!$D:$AM, 10, FALSE), 1)</f>
        <v>1.8669925880886673E-2</v>
      </c>
      <c r="N6" s="7">
        <f>$B6 * IFERROR(VLOOKUP("buildings|PM25|Asthma symptoms cough", US_national_yearly!$D:$AM, 22, FALSE) / VLOOKUP("buildings|PM25|Asthma symptoms cough", US_national_yearly!$D:$AM, 10, FALSE), 1)</f>
        <v>1.8669925880886673E-2</v>
      </c>
      <c r="O6" s="7">
        <f>$B6 * IFERROR(VLOOKUP("buildings|PM25|Asthma symptoms cough", US_national_yearly!$D:$AM, 23, FALSE) / VLOOKUP("buildings|PM25|Asthma symptoms cough", US_national_yearly!$D:$AM, 10, FALSE), 1)</f>
        <v>1.8669925880886673E-2</v>
      </c>
      <c r="P6" s="7">
        <f>$B6 * IFERROR(VLOOKUP("buildings|PM25|Asthma symptoms cough", US_national_yearly!$D:$AM, 24, FALSE) / VLOOKUP("buildings|PM25|Asthma symptoms cough", US_national_yearly!$D:$AM, 10, FALSE), 1)</f>
        <v>1.8669925880886673E-2</v>
      </c>
      <c r="Q6" s="7">
        <f>$B6 * IFERROR(VLOOKUP("buildings|PM25|Asthma symptoms cough", US_national_yearly!$D:$AM, 25, FALSE) / VLOOKUP("buildings|PM25|Asthma symptoms cough", US_national_yearly!$D:$AM, 10, FALSE), 1)</f>
        <v>1.8669925880886673E-2</v>
      </c>
      <c r="R6" s="7">
        <f>$B6 * IFERROR(VLOOKUP("buildings|PM25|Asthma symptoms cough", US_national_yearly!$D:$AM, 26, FALSE) / VLOOKUP("buildings|PM25|Asthma symptoms cough", US_national_yearly!$D:$AM, 10, FALSE), 1)</f>
        <v>1.8669925880886673E-2</v>
      </c>
      <c r="S6" s="7">
        <f>$B6 * IFERROR(VLOOKUP("buildings|PM25|Asthma symptoms cough", US_national_yearly!$D:$AM, 27, FALSE) / VLOOKUP("buildings|PM25|Asthma symptoms cough", US_national_yearly!$D:$AM, 10, FALSE), 1)</f>
        <v>1.8669925880886673E-2</v>
      </c>
      <c r="T6" s="7">
        <f>$B6 * IFERROR(VLOOKUP("buildings|PM25|Asthma symptoms cough", US_national_yearly!$D:$AM, 28, FALSE) / VLOOKUP("buildings|PM25|Asthma symptoms cough", US_national_yearly!$D:$AM, 10, FALSE), 1)</f>
        <v>1.8669925880886673E-2</v>
      </c>
      <c r="U6" s="7">
        <f>$B6 * IFERROR(VLOOKUP("buildings|PM25|Asthma symptoms cough", US_national_yearly!$D:$AM, 29, FALSE) / VLOOKUP("buildings|PM25|Asthma symptoms cough", US_national_yearly!$D:$AM, 10, FALSE), 1)</f>
        <v>1.8669925880886673E-2</v>
      </c>
      <c r="V6" s="7">
        <f>$B6 * IFERROR(VLOOKUP("buildings|PM25|Asthma symptoms cough", US_national_yearly!$D:$AM, 30, FALSE) / VLOOKUP("buildings|PM25|Asthma symptoms cough", US_national_yearly!$D:$AM, 10, FALSE), 1)</f>
        <v>1.8669925880886673E-2</v>
      </c>
      <c r="W6" s="7">
        <f>$B6 * IFERROR(VLOOKUP("buildings|PM25|Asthma symptoms cough", US_national_yearly!$D:$AM, 31, FALSE) / VLOOKUP("buildings|PM25|Asthma symptoms cough", US_national_yearly!$D:$AM, 10, FALSE), 1)</f>
        <v>1.8669925880886673E-2</v>
      </c>
      <c r="X6" s="7">
        <f>$B6 * IFERROR(VLOOKUP("buildings|PM25|Asthma symptoms cough", US_national_yearly!$D:$AM, 32, FALSE) / VLOOKUP("buildings|PM25|Asthma symptoms cough", US_national_yearly!$D:$AM, 10, FALSE), 1)</f>
        <v>1.8669925880886673E-2</v>
      </c>
      <c r="Y6" s="7">
        <f>$B6 * IFERROR(VLOOKUP("buildings|PM25|Asthma symptoms cough", US_national_yearly!$D:$AM, 33, FALSE) / VLOOKUP("buildings|PM25|Asthma symptoms cough", US_national_yearly!$D:$AM, 10, FALSE), 1)</f>
        <v>1.8669925880886673E-2</v>
      </c>
      <c r="Z6" s="7">
        <f>$B6 * IFERROR(VLOOKUP("buildings|PM25|Asthma symptoms cough", US_national_yearly!$D:$AM, 34, FALSE) / VLOOKUP("buildings|PM25|Asthma symptoms cough", US_national_yearly!$D:$AM, 10, FALSE), 1)</f>
        <v>1.8669925880886673E-2</v>
      </c>
      <c r="AA6" s="7">
        <f>$B6 * IFERROR(VLOOKUP("buildings|PM25|Asthma symptoms cough", US_national_yearly!$D:$AM, 35, FALSE) / VLOOKUP("buildings|PM25|Asthma symptoms cough", US_national_yearly!$D:$AM, 10, FALSE), 1)</f>
        <v>1.8669925880886673E-2</v>
      </c>
      <c r="AB6" s="7">
        <f>$B6 * IFERROR(VLOOKUP("buildings|PM25|Asthma symptoms cough", US_national_yearly!$D:$AM, 36, FALSE) / VLOOKUP("buildings|PM25|Asthma symptoms cough", US_national_yearly!$D:$AM, 10, FALSE), 1)</f>
        <v>1.8669925880886673E-2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2.5141747710578834E-2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2.5141747710578834E-2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2.5141747710578834E-2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2.5141747710578834E-2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2.5141747710578834E-2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2.5141747710578834E-2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2.5141747710578834E-2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2.5141747710578834E-2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2.5141747710578834E-2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2.5141747710578834E-2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2.5141747710578834E-2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2.5141747710578834E-2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2.5141747710578834E-2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2.5141747710578834E-2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2.5141747710578834E-2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2.5141747710578834E-2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2.5141747710578834E-2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2.5141747710578834E-2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2.5141747710578834E-2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2.5141747710578834E-2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2.5141747710578834E-2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2.5141747710578834E-2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2.5141747710578834E-2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2.5141747710578834E-2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2.5141747710578834E-2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2.5141747710578834E-2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2.5141747710578834E-2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3.8412388721318379E-2</v>
      </c>
      <c r="C8" s="7">
        <f>$B8 * IFERROR(VLOOKUP("buildings|PM25|Asthma symptoms wheeze", US_national_yearly!$D:$AM, 11, FALSE) / VLOOKUP("buildings|PM25|Asthma symptoms wheeze", US_national_yearly!$D:$AM, 10, FALSE), 1)</f>
        <v>3.8412388721318379E-2</v>
      </c>
      <c r="D8" s="7">
        <f>$B8 * IFERROR(VLOOKUP("buildings|PM25|Asthma symptoms wheeze", US_national_yearly!$D:$AM, 12, FALSE) / VLOOKUP("buildings|PM25|Asthma symptoms wheeze", US_national_yearly!$D:$AM, 10, FALSE), 1)</f>
        <v>3.8412388721318379E-2</v>
      </c>
      <c r="E8" s="7">
        <f>$B8 * IFERROR(VLOOKUP("buildings|PM25|Asthma symptoms wheeze", US_national_yearly!$D:$AM, 13, FALSE) / VLOOKUP("buildings|PM25|Asthma symptoms wheeze", US_national_yearly!$D:$AM, 10, FALSE), 1)</f>
        <v>3.8412388721318379E-2</v>
      </c>
      <c r="F8" s="7">
        <f>$B8 * IFERROR(VLOOKUP("buildings|PM25|Asthma symptoms wheeze", US_national_yearly!$D:$AM, 14, FALSE) / VLOOKUP("buildings|PM25|Asthma symptoms wheeze", US_national_yearly!$D:$AM, 10, FALSE), 1)</f>
        <v>3.8412388721318379E-2</v>
      </c>
      <c r="G8" s="7">
        <f>$B8 * IFERROR(VLOOKUP("buildings|PM25|Asthma symptoms wheeze", US_national_yearly!$D:$AM, 15, FALSE) / VLOOKUP("buildings|PM25|Asthma symptoms wheeze", US_national_yearly!$D:$AM, 10, FALSE), 1)</f>
        <v>3.8412388721318379E-2</v>
      </c>
      <c r="H8" s="7">
        <f>$B8 * IFERROR(VLOOKUP("buildings|PM25|Asthma symptoms wheeze", US_national_yearly!$D:$AM, 16, FALSE) / VLOOKUP("buildings|PM25|Asthma symptoms wheeze", US_national_yearly!$D:$AM, 10, FALSE), 1)</f>
        <v>3.8412388721318379E-2</v>
      </c>
      <c r="I8" s="7">
        <f>$B8 * IFERROR(VLOOKUP("buildings|PM25|Asthma symptoms wheeze", US_national_yearly!$D:$AM, 17, FALSE) / VLOOKUP("buildings|PM25|Asthma symptoms wheeze", US_national_yearly!$D:$AM, 10, FALSE), 1)</f>
        <v>3.8412388721318379E-2</v>
      </c>
      <c r="J8" s="7">
        <f>$B8 * IFERROR(VLOOKUP("buildings|PM25|Asthma symptoms wheeze", US_national_yearly!$D:$AM, 18, FALSE) / VLOOKUP("buildings|PM25|Asthma symptoms wheeze", US_national_yearly!$D:$AM, 10, FALSE), 1)</f>
        <v>3.8412388721318379E-2</v>
      </c>
      <c r="K8" s="7">
        <f>$B8 * IFERROR(VLOOKUP("buildings|PM25|Asthma symptoms wheeze", US_national_yearly!$D:$AM, 19, FALSE) / VLOOKUP("buildings|PM25|Asthma symptoms wheeze", US_national_yearly!$D:$AM, 10, FALSE), 1)</f>
        <v>3.8412388721318379E-2</v>
      </c>
      <c r="L8" s="7">
        <f>$B8 * IFERROR(VLOOKUP("buildings|PM25|Asthma symptoms wheeze", US_national_yearly!$D:$AM, 20, FALSE) / VLOOKUP("buildings|PM25|Asthma symptoms wheeze", US_national_yearly!$D:$AM, 10, FALSE), 1)</f>
        <v>3.8412388721318379E-2</v>
      </c>
      <c r="M8" s="7">
        <f>$B8 * IFERROR(VLOOKUP("buildings|PM25|Asthma symptoms wheeze", US_national_yearly!$D:$AM, 21, FALSE) / VLOOKUP("buildings|PM25|Asthma symptoms wheeze", US_national_yearly!$D:$AM, 10, FALSE), 1)</f>
        <v>3.8412388721318379E-2</v>
      </c>
      <c r="N8" s="7">
        <f>$B8 * IFERROR(VLOOKUP("buildings|PM25|Asthma symptoms wheeze", US_national_yearly!$D:$AM, 22, FALSE) / VLOOKUP("buildings|PM25|Asthma symptoms wheeze", US_national_yearly!$D:$AM, 10, FALSE), 1)</f>
        <v>3.8412388721318379E-2</v>
      </c>
      <c r="O8" s="7">
        <f>$B8 * IFERROR(VLOOKUP("buildings|PM25|Asthma symptoms wheeze", US_national_yearly!$D:$AM, 23, FALSE) / VLOOKUP("buildings|PM25|Asthma symptoms wheeze", US_national_yearly!$D:$AM, 10, FALSE), 1)</f>
        <v>3.8412388721318379E-2</v>
      </c>
      <c r="P8" s="7">
        <f>$B8 * IFERROR(VLOOKUP("buildings|PM25|Asthma symptoms wheeze", US_national_yearly!$D:$AM, 24, FALSE) / VLOOKUP("buildings|PM25|Asthma symptoms wheeze", US_national_yearly!$D:$AM, 10, FALSE), 1)</f>
        <v>3.8412388721318379E-2</v>
      </c>
      <c r="Q8" s="7">
        <f>$B8 * IFERROR(VLOOKUP("buildings|PM25|Asthma symptoms wheeze", US_national_yearly!$D:$AM, 25, FALSE) / VLOOKUP("buildings|PM25|Asthma symptoms wheeze", US_national_yearly!$D:$AM, 10, FALSE), 1)</f>
        <v>3.8412388721318379E-2</v>
      </c>
      <c r="R8" s="7">
        <f>$B8 * IFERROR(VLOOKUP("buildings|PM25|Asthma symptoms wheeze", US_national_yearly!$D:$AM, 26, FALSE) / VLOOKUP("buildings|PM25|Asthma symptoms wheeze", US_national_yearly!$D:$AM, 10, FALSE), 1)</f>
        <v>3.8412388721318379E-2</v>
      </c>
      <c r="S8" s="7">
        <f>$B8 * IFERROR(VLOOKUP("buildings|PM25|Asthma symptoms wheeze", US_national_yearly!$D:$AM, 27, FALSE) / VLOOKUP("buildings|PM25|Asthma symptoms wheeze", US_national_yearly!$D:$AM, 10, FALSE), 1)</f>
        <v>3.8412388721318379E-2</v>
      </c>
      <c r="T8" s="7">
        <f>$B8 * IFERROR(VLOOKUP("buildings|PM25|Asthma symptoms wheeze", US_national_yearly!$D:$AM, 28, FALSE) / VLOOKUP("buildings|PM25|Asthma symptoms wheeze", US_national_yearly!$D:$AM, 10, FALSE), 1)</f>
        <v>3.8412388721318379E-2</v>
      </c>
      <c r="U8" s="7">
        <f>$B8 * IFERROR(VLOOKUP("buildings|PM25|Asthma symptoms wheeze", US_national_yearly!$D:$AM, 29, FALSE) / VLOOKUP("buildings|PM25|Asthma symptoms wheeze", US_national_yearly!$D:$AM, 10, FALSE), 1)</f>
        <v>3.8412388721318379E-2</v>
      </c>
      <c r="V8" s="7">
        <f>$B8 * IFERROR(VLOOKUP("buildings|PM25|Asthma symptoms wheeze", US_national_yearly!$D:$AM, 30, FALSE) / VLOOKUP("buildings|PM25|Asthma symptoms wheeze", US_national_yearly!$D:$AM, 10, FALSE), 1)</f>
        <v>3.8412388721318379E-2</v>
      </c>
      <c r="W8" s="7">
        <f>$B8 * IFERROR(VLOOKUP("buildings|PM25|Asthma symptoms wheeze", US_national_yearly!$D:$AM, 31, FALSE) / VLOOKUP("buildings|PM25|Asthma symptoms wheeze", US_national_yearly!$D:$AM, 10, FALSE), 1)</f>
        <v>3.8412388721318379E-2</v>
      </c>
      <c r="X8" s="7">
        <f>$B8 * IFERROR(VLOOKUP("buildings|PM25|Asthma symptoms wheeze", US_national_yearly!$D:$AM, 32, FALSE) / VLOOKUP("buildings|PM25|Asthma symptoms wheeze", US_national_yearly!$D:$AM, 10, FALSE), 1)</f>
        <v>3.8412388721318379E-2</v>
      </c>
      <c r="Y8" s="7">
        <f>$B8 * IFERROR(VLOOKUP("buildings|PM25|Asthma symptoms wheeze", US_national_yearly!$D:$AM, 33, FALSE) / VLOOKUP("buildings|PM25|Asthma symptoms wheeze", US_national_yearly!$D:$AM, 10, FALSE), 1)</f>
        <v>3.8412388721318379E-2</v>
      </c>
      <c r="Z8" s="7">
        <f>$B8 * IFERROR(VLOOKUP("buildings|PM25|Asthma symptoms wheeze", US_national_yearly!$D:$AM, 34, FALSE) / VLOOKUP("buildings|PM25|Asthma symptoms wheeze", US_national_yearly!$D:$AM, 10, FALSE), 1)</f>
        <v>3.8412388721318379E-2</v>
      </c>
      <c r="AA8" s="7">
        <f>$B8 * IFERROR(VLOOKUP("buildings|PM25|Asthma symptoms wheeze", US_national_yearly!$D:$AM, 35, FALSE) / VLOOKUP("buildings|PM25|Asthma symptoms wheeze", US_national_yearly!$D:$AM, 10, FALSE), 1)</f>
        <v>3.8412388721318379E-2</v>
      </c>
      <c r="AB8" s="7">
        <f>$B8 * IFERROR(VLOOKUP("buildings|PM25|Asthma symptoms wheeze", US_national_yearly!$D:$AM, 36, FALSE) / VLOOKUP("buildings|PM25|Asthma symptoms wheeze", US_national_yearly!$D:$AM, 10, FALSE), 1)</f>
        <v>3.8412388721318379E-2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5.2032497909030825E-4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5.2332421878281514E-4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5.2632345847532214E-4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5.2932269816782914E-4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5.3232193786033604E-4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5.3555839536310185E-4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5.3879485286586766E-4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5.418730166182748E-4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5.4495118037068194E-4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5.4802934412308897E-4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5.5110750787549611E-4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5.5418567162790315E-4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5.5639970522549482E-4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5.5861373882308638E-4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5.6082777242067795E-4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5.630418060182694E-4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5.6525583961586096E-4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5.6736531084962741E-4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5.6947478208339408E-4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5.7158425331716052E-4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5.7369372455092697E-4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5.7580319578469364E-4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5.7784061060743206E-4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5.7987802543017059E-4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5.819154402529089E-4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5.8395285507564744E-4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5.8599026989838575E-4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2.8131800005128365E-3</v>
      </c>
      <c r="C13" s="7">
        <f>$B13 * IFERROR(VLOOKUP("buildings|PM25|Non-fatal heart attacks", US_national_yearly!$D:$AM, 11, FALSE) / VLOOKUP("buildings|PM25|Non-fatal heart attacks", US_national_yearly!$D:$AM, 10, FALSE), 1)</f>
        <v>2.895005321556328E-3</v>
      </c>
      <c r="D13" s="7">
        <f>$B13 * IFERROR(VLOOKUP("buildings|PM25|Non-fatal heart attacks", US_national_yearly!$D:$AM, 12, FALSE) / VLOOKUP("buildings|PM25|Non-fatal heart attacks", US_national_yearly!$D:$AM, 10, FALSE), 1)</f>
        <v>2.976830642599819E-3</v>
      </c>
      <c r="E13" s="7">
        <f>$B13 * IFERROR(VLOOKUP("buildings|PM25|Non-fatal heart attacks", US_national_yearly!$D:$AM, 13, FALSE) / VLOOKUP("buildings|PM25|Non-fatal heart attacks", US_national_yearly!$D:$AM, 10, FALSE), 1)</f>
        <v>3.0586559636433101E-3</v>
      </c>
      <c r="F13" s="7">
        <f>$B13 * IFERROR(VLOOKUP("buildings|PM25|Non-fatal heart attacks", US_national_yearly!$D:$AM, 14, FALSE) / VLOOKUP("buildings|PM25|Non-fatal heart attacks", US_national_yearly!$D:$AM, 10, FALSE), 1)</f>
        <v>3.1404812846868016E-3</v>
      </c>
      <c r="G13" s="7">
        <f>$B13 * IFERROR(VLOOKUP("buildings|PM25|Non-fatal heart attacks", US_national_yearly!$D:$AM, 15, FALSE) / VLOOKUP("buildings|PM25|Non-fatal heart attacks", US_national_yearly!$D:$AM, 10, FALSE), 1)</f>
        <v>3.2176881485582952E-3</v>
      </c>
      <c r="H13" s="7">
        <f>$B13 * IFERROR(VLOOKUP("buildings|PM25|Non-fatal heart attacks", US_national_yearly!$D:$AM, 16, FALSE) / VLOOKUP("buildings|PM25|Non-fatal heart attacks", US_national_yearly!$D:$AM, 10, FALSE), 1)</f>
        <v>3.2948950124297876E-3</v>
      </c>
      <c r="I13" s="7">
        <f>$B13 * IFERROR(VLOOKUP("buildings|PM25|Non-fatal heart attacks", US_national_yearly!$D:$AM, 17, FALSE) / VLOOKUP("buildings|PM25|Non-fatal heart attacks", US_national_yearly!$D:$AM, 10, FALSE), 1)</f>
        <v>3.3570139309820825E-3</v>
      </c>
      <c r="J13" s="7">
        <f>$B13 * IFERROR(VLOOKUP("buildings|PM25|Non-fatal heart attacks", US_national_yearly!$D:$AM, 18, FALSE) / VLOOKUP("buildings|PM25|Non-fatal heart attacks", US_national_yearly!$D:$AM, 10, FALSE), 1)</f>
        <v>3.4191328495343774E-3</v>
      </c>
      <c r="K13" s="7">
        <f>$B13 * IFERROR(VLOOKUP("buildings|PM25|Non-fatal heart attacks", US_national_yearly!$D:$AM, 19, FALSE) / VLOOKUP("buildings|PM25|Non-fatal heart attacks", US_national_yearly!$D:$AM, 10, FALSE), 1)</f>
        <v>3.4812517680866714E-3</v>
      </c>
      <c r="L13" s="7">
        <f>$B13 * IFERROR(VLOOKUP("buildings|PM25|Non-fatal heart attacks", US_national_yearly!$D:$AM, 20, FALSE) / VLOOKUP("buildings|PM25|Non-fatal heart attacks", US_national_yearly!$D:$AM, 10, FALSE), 1)</f>
        <v>3.5433706866389659E-3</v>
      </c>
      <c r="M13" s="7">
        <f>$B13 * IFERROR(VLOOKUP("buildings|PM25|Non-fatal heart attacks", US_national_yearly!$D:$AM, 21, FALSE) / VLOOKUP("buildings|PM25|Non-fatal heart attacks", US_national_yearly!$D:$AM, 10, FALSE), 1)</f>
        <v>3.6054896051912603E-3</v>
      </c>
      <c r="N13" s="7">
        <f>$B13 * IFERROR(VLOOKUP("buildings|PM25|Non-fatal heart attacks", US_national_yearly!$D:$AM, 22, FALSE) / VLOOKUP("buildings|PM25|Non-fatal heart attacks", US_national_yearly!$D:$AM, 10, FALSE), 1)</f>
        <v>3.6456193970772323E-3</v>
      </c>
      <c r="O13" s="7">
        <f>$B13 * IFERROR(VLOOKUP("buildings|PM25|Non-fatal heart attacks", US_national_yearly!$D:$AM, 23, FALSE) / VLOOKUP("buildings|PM25|Non-fatal heart attacks", US_national_yearly!$D:$AM, 10, FALSE), 1)</f>
        <v>3.6857491889632043E-3</v>
      </c>
      <c r="P13" s="7">
        <f>$B13 * IFERROR(VLOOKUP("buildings|PM25|Non-fatal heart attacks", US_national_yearly!$D:$AM, 24, FALSE) / VLOOKUP("buildings|PM25|Non-fatal heart attacks", US_national_yearly!$D:$AM, 10, FALSE), 1)</f>
        <v>3.7258789808491759E-3</v>
      </c>
      <c r="Q13" s="7">
        <f>$B13 * IFERROR(VLOOKUP("buildings|PM25|Non-fatal heart attacks", US_national_yearly!$D:$AM, 25, FALSE) / VLOOKUP("buildings|PM25|Non-fatal heart attacks", US_national_yearly!$D:$AM, 10, FALSE), 1)</f>
        <v>3.7660087727351479E-3</v>
      </c>
      <c r="R13" s="7">
        <f>$B13 * IFERROR(VLOOKUP("buildings|PM25|Non-fatal heart attacks", US_national_yearly!$D:$AM, 26, FALSE) / VLOOKUP("buildings|PM25|Non-fatal heart attacks", US_national_yearly!$D:$AM, 10, FALSE), 1)</f>
        <v>3.80613856462112E-3</v>
      </c>
      <c r="S13" s="7">
        <f>$B13 * IFERROR(VLOOKUP("buildings|PM25|Non-fatal heart attacks", US_national_yearly!$D:$AM, 27, FALSE) / VLOOKUP("buildings|PM25|Non-fatal heart attacks", US_national_yearly!$D:$AM, 10, FALSE), 1)</f>
        <v>3.8273635944636301E-3</v>
      </c>
      <c r="T13" s="7">
        <f>$B13 * IFERROR(VLOOKUP("buildings|PM25|Non-fatal heart attacks", US_national_yearly!$D:$AM, 28, FALSE) / VLOOKUP("buildings|PM25|Non-fatal heart attacks", US_national_yearly!$D:$AM, 10, FALSE), 1)</f>
        <v>3.8485886243061406E-3</v>
      </c>
      <c r="U13" s="7">
        <f>$B13 * IFERROR(VLOOKUP("buildings|PM25|Non-fatal heart attacks", US_national_yearly!$D:$AM, 29, FALSE) / VLOOKUP("buildings|PM25|Non-fatal heart attacks", US_national_yearly!$D:$AM, 10, FALSE), 1)</f>
        <v>3.8698136541486512E-3</v>
      </c>
      <c r="V13" s="7">
        <f>$B13 * IFERROR(VLOOKUP("buildings|PM25|Non-fatal heart attacks", US_national_yearly!$D:$AM, 30, FALSE) / VLOOKUP("buildings|PM25|Non-fatal heart attacks", US_national_yearly!$D:$AM, 10, FALSE), 1)</f>
        <v>3.8910386839911613E-3</v>
      </c>
      <c r="W13" s="7">
        <f>$B13 * IFERROR(VLOOKUP("buildings|PM25|Non-fatal heart attacks", US_national_yearly!$D:$AM, 31, FALSE) / VLOOKUP("buildings|PM25|Non-fatal heart attacks", US_national_yearly!$D:$AM, 10, FALSE), 1)</f>
        <v>3.9122637138336719E-3</v>
      </c>
      <c r="X13" s="7">
        <f>$B13 * IFERROR(VLOOKUP("buildings|PM25|Non-fatal heart attacks", US_national_yearly!$D:$AM, 32, FALSE) / VLOOKUP("buildings|PM25|Non-fatal heart attacks", US_national_yearly!$D:$AM, 10, FALSE), 1)</f>
        <v>3.9284175117844031E-3</v>
      </c>
      <c r="Y13" s="7">
        <f>$B13 * IFERROR(VLOOKUP("buildings|PM25|Non-fatal heart attacks", US_national_yearly!$D:$AM, 33, FALSE) / VLOOKUP("buildings|PM25|Non-fatal heart attacks", US_national_yearly!$D:$AM, 10, FALSE), 1)</f>
        <v>3.9445713097351334E-3</v>
      </c>
      <c r="Z13" s="7">
        <f>$B13 * IFERROR(VLOOKUP("buildings|PM25|Non-fatal heart attacks", US_national_yearly!$D:$AM, 34, FALSE) / VLOOKUP("buildings|PM25|Non-fatal heart attacks", US_national_yearly!$D:$AM, 10, FALSE), 1)</f>
        <v>3.9607251076858637E-3</v>
      </c>
      <c r="AA13" s="7">
        <f>$B13 * IFERROR(VLOOKUP("buildings|PM25|Non-fatal heart attacks", US_national_yearly!$D:$AM, 35, FALSE) / VLOOKUP("buildings|PM25|Non-fatal heart attacks", US_national_yearly!$D:$AM, 10, FALSE), 1)</f>
        <v>3.976878905636594E-3</v>
      </c>
      <c r="AB13" s="7">
        <f>$B13 * IFERROR(VLOOKUP("buildings|PM25|Non-fatal heart attacks", US_national_yearly!$D:$AM, 36, FALSE) / VLOOKUP("buildings|PM25|Non-fatal heart attacks", US_national_yearly!$D:$AM, 10, FALSE), 1)</f>
        <v>3.9930327035873252E-3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2.5289308013018319</v>
      </c>
      <c r="C14" s="7">
        <f>$B14 * IFERROR(VLOOKUP("buildings|PM25|Minor restricted activity days", US_national_yearly!$D:$AM, 11, FALSE) / VLOOKUP("buildings|PM25|Minor restricted activity days", US_national_yearly!$D:$AM, 10, FALSE), 1)</f>
        <v>2.5352203939827422</v>
      </c>
      <c r="D14" s="7">
        <f>$B14 * IFERROR(VLOOKUP("buildings|PM25|Minor restricted activity days", US_national_yearly!$D:$AM, 12, FALSE) / VLOOKUP("buildings|PM25|Minor restricted activity days", US_national_yearly!$D:$AM, 10, FALSE), 1)</f>
        <v>2.5415099866636526</v>
      </c>
      <c r="E14" s="7">
        <f>$B14 * IFERROR(VLOOKUP("buildings|PM25|Minor restricted activity days", US_national_yearly!$D:$AM, 13, FALSE) / VLOOKUP("buildings|PM25|Minor restricted activity days", US_national_yearly!$D:$AM, 10, FALSE), 1)</f>
        <v>2.5477995793445629</v>
      </c>
      <c r="F14" s="7">
        <f>$B14 * IFERROR(VLOOKUP("buildings|PM25|Minor restricted activity days", US_national_yearly!$D:$AM, 14, FALSE) / VLOOKUP("buildings|PM25|Minor restricted activity days", US_national_yearly!$D:$AM, 10, FALSE), 1)</f>
        <v>2.5540891720254728</v>
      </c>
      <c r="G14" s="7">
        <f>$B14 * IFERROR(VLOOKUP("buildings|PM25|Minor restricted activity days", US_national_yearly!$D:$AM, 15, FALSE) / VLOOKUP("buildings|PM25|Minor restricted activity days", US_national_yearly!$D:$AM, 10, FALSE), 1)</f>
        <v>2.5633140948314765</v>
      </c>
      <c r="H14" s="7">
        <f>$B14 * IFERROR(VLOOKUP("buildings|PM25|Minor restricted activity days", US_national_yearly!$D:$AM, 16, FALSE) / VLOOKUP("buildings|PM25|Minor restricted activity days", US_national_yearly!$D:$AM, 10, FALSE), 1)</f>
        <v>2.5725390176374798</v>
      </c>
      <c r="I14" s="7">
        <f>$B14 * IFERROR(VLOOKUP("buildings|PM25|Minor restricted activity days", US_national_yearly!$D:$AM, 17, FALSE) / VLOOKUP("buildings|PM25|Minor restricted activity days", US_national_yearly!$D:$AM, 10, FALSE), 1)</f>
        <v>2.5882255274863035</v>
      </c>
      <c r="J14" s="7">
        <f>$B14 * IFERROR(VLOOKUP("buildings|PM25|Minor restricted activity days", US_national_yearly!$D:$AM, 18, FALSE) / VLOOKUP("buildings|PM25|Minor restricted activity days", US_national_yearly!$D:$AM, 10, FALSE), 1)</f>
        <v>2.6039120373351285</v>
      </c>
      <c r="K14" s="7">
        <f>$B14 * IFERROR(VLOOKUP("buildings|PM25|Minor restricted activity days", US_national_yearly!$D:$AM, 19, FALSE) / VLOOKUP("buildings|PM25|Minor restricted activity days", US_national_yearly!$D:$AM, 10, FALSE), 1)</f>
        <v>2.6195985471839514</v>
      </c>
      <c r="L14" s="7">
        <f>$B14 * IFERROR(VLOOKUP("buildings|PM25|Minor restricted activity days", US_national_yearly!$D:$AM, 20, FALSE) / VLOOKUP("buildings|PM25|Minor restricted activity days", US_national_yearly!$D:$AM, 10, FALSE), 1)</f>
        <v>2.6352850570327746</v>
      </c>
      <c r="M14" s="7">
        <f>$B14 * IFERROR(VLOOKUP("buildings|PM25|Minor restricted activity days", US_national_yearly!$D:$AM, 21, FALSE) / VLOOKUP("buildings|PM25|Minor restricted activity days", US_national_yearly!$D:$AM, 10, FALSE), 1)</f>
        <v>2.6509715668815979</v>
      </c>
      <c r="N14" s="7">
        <f>$B14 * IFERROR(VLOOKUP("buildings|PM25|Minor restricted activity days", US_national_yearly!$D:$AM, 22, FALSE) / VLOOKUP("buildings|PM25|Minor restricted activity days", US_national_yearly!$D:$AM, 10, FALSE), 1)</f>
        <v>2.6722857491808201</v>
      </c>
      <c r="O14" s="7">
        <f>$B14 * IFERROR(VLOOKUP("buildings|PM25|Minor restricted activity days", US_national_yearly!$D:$AM, 23, FALSE) / VLOOKUP("buildings|PM25|Minor restricted activity days", US_national_yearly!$D:$AM, 10, FALSE), 1)</f>
        <v>2.6935999314800418</v>
      </c>
      <c r="P14" s="7">
        <f>$B14 * IFERROR(VLOOKUP("buildings|PM25|Minor restricted activity days", US_national_yearly!$D:$AM, 24, FALSE) / VLOOKUP("buildings|PM25|Minor restricted activity days", US_national_yearly!$D:$AM, 10, FALSE), 1)</f>
        <v>2.7149141137792641</v>
      </c>
      <c r="Q14" s="7">
        <f>$B14 * IFERROR(VLOOKUP("buildings|PM25|Minor restricted activity days", US_national_yearly!$D:$AM, 25, FALSE) / VLOOKUP("buildings|PM25|Minor restricted activity days", US_national_yearly!$D:$AM, 10, FALSE), 1)</f>
        <v>2.7362282960784858</v>
      </c>
      <c r="R14" s="7">
        <f>$B14 * IFERROR(VLOOKUP("buildings|PM25|Minor restricted activity days", US_national_yearly!$D:$AM, 26, FALSE) / VLOOKUP("buildings|PM25|Minor restricted activity days", US_national_yearly!$D:$AM, 10, FALSE), 1)</f>
        <v>2.7575424783777076</v>
      </c>
      <c r="S14" s="7">
        <f>$B14 * IFERROR(VLOOKUP("buildings|PM25|Minor restricted activity days", US_national_yearly!$D:$AM, 27, FALSE) / VLOOKUP("buildings|PM25|Minor restricted activity days", US_national_yearly!$D:$AM, 10, FALSE), 1)</f>
        <v>2.7789887458176326</v>
      </c>
      <c r="T14" s="7">
        <f>$B14 * IFERROR(VLOOKUP("buildings|PM25|Minor restricted activity days", US_national_yearly!$D:$AM, 28, FALSE) / VLOOKUP("buildings|PM25|Minor restricted activity days", US_national_yearly!$D:$AM, 10, FALSE), 1)</f>
        <v>2.8004350132575575</v>
      </c>
      <c r="U14" s="7">
        <f>$B14 * IFERROR(VLOOKUP("buildings|PM25|Minor restricted activity days", US_national_yearly!$D:$AM, 29, FALSE) / VLOOKUP("buildings|PM25|Minor restricted activity days", US_national_yearly!$D:$AM, 10, FALSE), 1)</f>
        <v>2.8218812806974825</v>
      </c>
      <c r="V14" s="7">
        <f>$B14 * IFERROR(VLOOKUP("buildings|PM25|Minor restricted activity days", US_national_yearly!$D:$AM, 30, FALSE) / VLOOKUP("buildings|PM25|Minor restricted activity days", US_national_yearly!$D:$AM, 10, FALSE), 1)</f>
        <v>2.843327548137407</v>
      </c>
      <c r="W14" s="7">
        <f>$B14 * IFERROR(VLOOKUP("buildings|PM25|Minor restricted activity days", US_national_yearly!$D:$AM, 31, FALSE) / VLOOKUP("buildings|PM25|Minor restricted activity days", US_national_yearly!$D:$AM, 10, FALSE), 1)</f>
        <v>2.8647738155773323</v>
      </c>
      <c r="X14" s="7">
        <f>$B14 * IFERROR(VLOOKUP("buildings|PM25|Minor restricted activity days", US_national_yearly!$D:$AM, 32, FALSE) / VLOOKUP("buildings|PM25|Minor restricted activity days", US_national_yearly!$D:$AM, 10, FALSE), 1)</f>
        <v>2.8833957294877579</v>
      </c>
      <c r="Y14" s="7">
        <f>$B14 * IFERROR(VLOOKUP("buildings|PM25|Minor restricted activity days", US_national_yearly!$D:$AM, 33, FALSE) / VLOOKUP("buildings|PM25|Minor restricted activity days", US_national_yearly!$D:$AM, 10, FALSE), 1)</f>
        <v>2.9020176433981835</v>
      </c>
      <c r="Z14" s="7">
        <f>$B14 * IFERROR(VLOOKUP("buildings|PM25|Minor restricted activity days", US_national_yearly!$D:$AM, 34, FALSE) / VLOOKUP("buildings|PM25|Minor restricted activity days", US_national_yearly!$D:$AM, 10, FALSE), 1)</f>
        <v>2.9206395573086081</v>
      </c>
      <c r="AA14" s="7">
        <f>$B14 * IFERROR(VLOOKUP("buildings|PM25|Minor restricted activity days", US_national_yearly!$D:$AM, 35, FALSE) / VLOOKUP("buildings|PM25|Minor restricted activity days", US_national_yearly!$D:$AM, 10, FALSE), 1)</f>
        <v>2.9392614712190337</v>
      </c>
      <c r="AB14" s="7">
        <f>$B14 * IFERROR(VLOOKUP("buildings|PM25|Minor restricted activity days", US_national_yearly!$D:$AM, 36, FALSE) / VLOOKUP("buildings|PM25|Minor restricted activity days", US_national_yearly!$D:$AM, 10, FALSE), 1)</f>
        <v>2.9578833851294588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0.43056862247406291</v>
      </c>
      <c r="C15" s="7">
        <f>$B15 * IFERROR(VLOOKUP("buildings|PM25|Work loss days", US_national_yearly!$D:$AM, 11, FALSE) / VLOOKUP("buildings|PM25|Work loss days", US_national_yearly!$D:$AM, 10, FALSE), 1)</f>
        <v>0.43191983966786679</v>
      </c>
      <c r="D15" s="7">
        <f>$B15 * IFERROR(VLOOKUP("buildings|PM25|Work loss days", US_national_yearly!$D:$AM, 12, FALSE) / VLOOKUP("buildings|PM25|Work loss days", US_national_yearly!$D:$AM, 10, FALSE), 1)</f>
        <v>0.43327105686167056</v>
      </c>
      <c r="E15" s="7">
        <f>$B15 * IFERROR(VLOOKUP("buildings|PM25|Work loss days", US_national_yearly!$D:$AM, 13, FALSE) / VLOOKUP("buildings|PM25|Work loss days", US_national_yearly!$D:$AM, 10, FALSE), 1)</f>
        <v>0.43462227405547427</v>
      </c>
      <c r="F15" s="7">
        <f>$B15 * IFERROR(VLOOKUP("buildings|PM25|Work loss days", US_national_yearly!$D:$AM, 14, FALSE) / VLOOKUP("buildings|PM25|Work loss days", US_national_yearly!$D:$AM, 10, FALSE), 1)</f>
        <v>0.43597349124927803</v>
      </c>
      <c r="G15" s="7">
        <f>$B15 * IFERROR(VLOOKUP("buildings|PM25|Work loss days", US_national_yearly!$D:$AM, 15, FALSE) / VLOOKUP("buildings|PM25|Work loss days", US_national_yearly!$D:$AM, 10, FALSE), 1)</f>
        <v>0.43773965320974312</v>
      </c>
      <c r="H15" s="7">
        <f>$B15 * IFERROR(VLOOKUP("buildings|PM25|Work loss days", US_national_yearly!$D:$AM, 16, FALSE) / VLOOKUP("buildings|PM25|Work loss days", US_national_yearly!$D:$AM, 10, FALSE), 1)</f>
        <v>0.4395058151702082</v>
      </c>
      <c r="I15" s="7">
        <f>$B15 * IFERROR(VLOOKUP("buildings|PM25|Work loss days", US_national_yearly!$D:$AM, 17, FALSE) / VLOOKUP("buildings|PM25|Work loss days", US_national_yearly!$D:$AM, 10, FALSE), 1)</f>
        <v>0.44209971773113338</v>
      </c>
      <c r="J15" s="7">
        <f>$B15 * IFERROR(VLOOKUP("buildings|PM25|Work loss days", US_national_yearly!$D:$AM, 18, FALSE) / VLOOKUP("buildings|PM25|Work loss days", US_national_yearly!$D:$AM, 10, FALSE), 1)</f>
        <v>0.44469362029205856</v>
      </c>
      <c r="K15" s="7">
        <f>$B15 * IFERROR(VLOOKUP("buildings|PM25|Work loss days", US_national_yearly!$D:$AM, 19, FALSE) / VLOOKUP("buildings|PM25|Work loss days", US_national_yearly!$D:$AM, 10, FALSE), 1)</f>
        <v>0.44728752285298373</v>
      </c>
      <c r="L15" s="7">
        <f>$B15 * IFERROR(VLOOKUP("buildings|PM25|Work loss days", US_national_yearly!$D:$AM, 20, FALSE) / VLOOKUP("buildings|PM25|Work loss days", US_national_yearly!$D:$AM, 10, FALSE), 1)</f>
        <v>0.44988142541390891</v>
      </c>
      <c r="M15" s="7">
        <f>$B15 * IFERROR(VLOOKUP("buildings|PM25|Work loss days", US_national_yearly!$D:$AM, 21, FALSE) / VLOOKUP("buildings|PM25|Work loss days", US_national_yearly!$D:$AM, 10, FALSE), 1)</f>
        <v>0.4524753279748342</v>
      </c>
      <c r="N15" s="7">
        <f>$B15 * IFERROR(VLOOKUP("buildings|PM25|Work loss days", US_national_yearly!$D:$AM, 22, FALSE) / VLOOKUP("buildings|PM25|Work loss days", US_national_yearly!$D:$AM, 10, FALSE), 1)</f>
        <v>0.45573655198941682</v>
      </c>
      <c r="O15" s="7">
        <f>$B15 * IFERROR(VLOOKUP("buildings|PM25|Work loss days", US_national_yearly!$D:$AM, 23, FALSE) / VLOOKUP("buildings|PM25|Work loss days", US_national_yearly!$D:$AM, 10, FALSE), 1)</f>
        <v>0.45899777600399949</v>
      </c>
      <c r="P15" s="7">
        <f>$B15 * IFERROR(VLOOKUP("buildings|PM25|Work loss days", US_national_yearly!$D:$AM, 24, FALSE) / VLOOKUP("buildings|PM25|Work loss days", US_national_yearly!$D:$AM, 10, FALSE), 1)</f>
        <v>0.46225900001858211</v>
      </c>
      <c r="Q15" s="7">
        <f>$B15 * IFERROR(VLOOKUP("buildings|PM25|Work loss days", US_national_yearly!$D:$AM, 25, FALSE) / VLOOKUP("buildings|PM25|Work loss days", US_national_yearly!$D:$AM, 10, FALSE), 1)</f>
        <v>0.46552022403316468</v>
      </c>
      <c r="R15" s="7">
        <f>$B15 * IFERROR(VLOOKUP("buildings|PM25|Work loss days", US_national_yearly!$D:$AM, 26, FALSE) / VLOOKUP("buildings|PM25|Work loss days", US_national_yearly!$D:$AM, 10, FALSE), 1)</f>
        <v>0.46878144804774741</v>
      </c>
      <c r="S15" s="7">
        <f>$B15 * IFERROR(VLOOKUP("buildings|PM25|Work loss days", US_national_yearly!$D:$AM, 27, FALSE) / VLOOKUP("buildings|PM25|Work loss days", US_national_yearly!$D:$AM, 10, FALSE), 1)</f>
        <v>0.47238387528789583</v>
      </c>
      <c r="T15" s="7">
        <f>$B15 * IFERROR(VLOOKUP("buildings|PM25|Work loss days", US_national_yearly!$D:$AM, 28, FALSE) / VLOOKUP("buildings|PM25|Work loss days", US_national_yearly!$D:$AM, 10, FALSE), 1)</f>
        <v>0.47598630252804441</v>
      </c>
      <c r="U15" s="7">
        <f>$B15 * IFERROR(VLOOKUP("buildings|PM25|Work loss days", US_national_yearly!$D:$AM, 29, FALSE) / VLOOKUP("buildings|PM25|Work loss days", US_national_yearly!$D:$AM, 10, FALSE), 1)</f>
        <v>0.47958872976819295</v>
      </c>
      <c r="V15" s="7">
        <f>$B15 * IFERROR(VLOOKUP("buildings|PM25|Work loss days", US_national_yearly!$D:$AM, 30, FALSE) / VLOOKUP("buildings|PM25|Work loss days", US_national_yearly!$D:$AM, 10, FALSE), 1)</f>
        <v>0.48319115700834142</v>
      </c>
      <c r="W15" s="7">
        <f>$B15 * IFERROR(VLOOKUP("buildings|PM25|Work loss days", US_national_yearly!$D:$AM, 31, FALSE) / VLOOKUP("buildings|PM25|Work loss days", US_national_yearly!$D:$AM, 10, FALSE), 1)</f>
        <v>0.48679358424849001</v>
      </c>
      <c r="X15" s="7">
        <f>$B15 * IFERROR(VLOOKUP("buildings|PM25|Work loss days", US_national_yearly!$D:$AM, 32, FALSE) / VLOOKUP("buildings|PM25|Work loss days", US_national_yearly!$D:$AM, 10, FALSE), 1)</f>
        <v>0.48999039507890507</v>
      </c>
      <c r="Y15" s="7">
        <f>$B15 * IFERROR(VLOOKUP("buildings|PM25|Work loss days", US_national_yearly!$D:$AM, 33, FALSE) / VLOOKUP("buildings|PM25|Work loss days", US_national_yearly!$D:$AM, 10, FALSE), 1)</f>
        <v>0.49318720590932019</v>
      </c>
      <c r="Z15" s="7">
        <f>$B15 * IFERROR(VLOOKUP("buildings|PM25|Work loss days", US_national_yearly!$D:$AM, 34, FALSE) / VLOOKUP("buildings|PM25|Work loss days", US_national_yearly!$D:$AM, 10, FALSE), 1)</f>
        <v>0.49638401673973526</v>
      </c>
      <c r="AA15" s="7">
        <f>$B15 * IFERROR(VLOOKUP("buildings|PM25|Work loss days", US_national_yearly!$D:$AM, 35, FALSE) / VLOOKUP("buildings|PM25|Work loss days", US_national_yearly!$D:$AM, 10, FALSE), 1)</f>
        <v>0.49958082757015043</v>
      </c>
      <c r="AB15" s="7">
        <f>$B15 * IFERROR(VLOOKUP("buildings|PM25|Work loss days", US_national_yearly!$D:$AM, 36, FALSE) / VLOOKUP("buildings|PM25|Work loss days", US_national_yearly!$D:$AM, 10, FALSE), 1)</f>
        <v>0.50277763840056544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5.9995331551429944E-4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6.1788372830823637E-4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6.3581414110217341E-4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6.5374455389611023E-4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6.7167496669004727E-4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6.8885501629586943E-4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7.060350659016917E-4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7.2074276906814371E-4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7.3545047223459584E-4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7.5015817540104797E-4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7.6486587856750021E-4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7.7957358173395244E-4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7.8939466228230496E-4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7.992157428306577E-4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8.0903682337901022E-4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8.1885790392736296E-4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8.2867898447571559E-4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8.338975770848517E-4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8.391161696939877E-4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8.4433476230312381E-4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8.4955335491225981E-4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8.5477194752139613E-4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8.5830053281107834E-4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8.6182911810076045E-4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8.6535770339044265E-4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8.6888628868012476E-4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8.7241487396980697E-4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9.0337633168344764E-4</v>
      </c>
      <c r="C2" s="7">
        <f>$B2 * IFERROR(VLOOKUP("buildings|NOx|Premature mortality", US_national_yearly!$D:$AM, 11, FALSE) / VLOOKUP("buildings|NOx|Premature mortality", US_national_yearly!$D:$AM, 10, FALSE), 1)</f>
        <v>9.1666380862300294E-4</v>
      </c>
      <c r="D2" s="7">
        <f>$B2 * IFERROR(VLOOKUP("buildings|NOx|Premature mortality", US_national_yearly!$D:$AM, 12, FALSE) / VLOOKUP("buildings|NOx|Premature mortality", US_national_yearly!$D:$AM, 10, FALSE), 1)</f>
        <v>9.2995128556255812E-4</v>
      </c>
      <c r="E2" s="7">
        <f>$B2 * IFERROR(VLOOKUP("buildings|NOx|Premature mortality", US_national_yearly!$D:$AM, 13, FALSE) / VLOOKUP("buildings|NOx|Premature mortality", US_national_yearly!$D:$AM, 10, FALSE), 1)</f>
        <v>9.4323876250211342E-4</v>
      </c>
      <c r="F2" s="7">
        <f>$B2 * IFERROR(VLOOKUP("buildings|NOx|Premature mortality", US_national_yearly!$D:$AM, 14, FALSE) / VLOOKUP("buildings|NOx|Premature mortality", US_national_yearly!$D:$AM, 10, FALSE), 1)</f>
        <v>9.565262394416685E-4</v>
      </c>
      <c r="G2" s="7">
        <f>$B2 * IFERROR(VLOOKUP("buildings|NOx|Premature mortality", US_national_yearly!$D:$AM, 15, FALSE) / VLOOKUP("buildings|NOx|Premature mortality", US_national_yearly!$D:$AM, 10, FALSE), 1)</f>
        <v>9.8038207553538407E-4</v>
      </c>
      <c r="H2" s="7">
        <f>$B2 * IFERROR(VLOOKUP("buildings|NOx|Premature mortality", US_national_yearly!$D:$AM, 16, FALSE) / VLOOKUP("buildings|NOx|Premature mortality", US_national_yearly!$D:$AM, 10, FALSE), 1)</f>
        <v>1.0042379116290997E-3</v>
      </c>
      <c r="I2" s="7">
        <f>$B2 * IFERROR(VLOOKUP("buildings|NOx|Premature mortality", US_national_yearly!$D:$AM, 17, FALSE) / VLOOKUP("buildings|NOx|Premature mortality", US_national_yearly!$D:$AM, 10, FALSE), 1)</f>
        <v>1.0196548379757208E-3</v>
      </c>
      <c r="J2" s="7">
        <f>$B2 * IFERROR(VLOOKUP("buildings|NOx|Premature mortality", US_national_yearly!$D:$AM, 18, FALSE) / VLOOKUP("buildings|NOx|Premature mortality", US_national_yearly!$D:$AM, 10, FALSE), 1)</f>
        <v>1.0350717643223418E-3</v>
      </c>
      <c r="K2" s="7">
        <f>$B2 * IFERROR(VLOOKUP("buildings|NOx|Premature mortality", US_national_yearly!$D:$AM, 19, FALSE) / VLOOKUP("buildings|NOx|Premature mortality", US_national_yearly!$D:$AM, 10, FALSE), 1)</f>
        <v>1.0504886906689628E-3</v>
      </c>
      <c r="L2" s="7">
        <f>$B2 * IFERROR(VLOOKUP("buildings|NOx|Premature mortality", US_national_yearly!$D:$AM, 20, FALSE) / VLOOKUP("buildings|NOx|Premature mortality", US_national_yearly!$D:$AM, 10, FALSE), 1)</f>
        <v>1.0659056170155838E-3</v>
      </c>
      <c r="M2" s="7">
        <f>$B2 * IFERROR(VLOOKUP("buildings|NOx|Premature mortality", US_national_yearly!$D:$AM, 21, FALSE) / VLOOKUP("buildings|NOx|Premature mortality", US_national_yearly!$D:$AM, 10, FALSE), 1)</f>
        <v>1.0813225433622049E-3</v>
      </c>
      <c r="N2" s="7">
        <f>$B2 * IFERROR(VLOOKUP("buildings|NOx|Premature mortality", US_national_yearly!$D:$AM, 22, FALSE) / VLOOKUP("buildings|NOx|Premature mortality", US_national_yearly!$D:$AM, 10, FALSE), 1)</f>
        <v>1.092745897273316E-3</v>
      </c>
      <c r="O2" s="7">
        <f>$B2 * IFERROR(VLOOKUP("buildings|NOx|Premature mortality", US_national_yearly!$D:$AM, 23, FALSE) / VLOOKUP("buildings|NOx|Premature mortality", US_national_yearly!$D:$AM, 10, FALSE), 1)</f>
        <v>1.1041692511844271E-3</v>
      </c>
      <c r="P2" s="7">
        <f>$B2 * IFERROR(VLOOKUP("buildings|NOx|Premature mortality", US_national_yearly!$D:$AM, 24, FALSE) / VLOOKUP("buildings|NOx|Premature mortality", US_national_yearly!$D:$AM, 10, FALSE), 1)</f>
        <v>1.1155926050955384E-3</v>
      </c>
      <c r="Q2" s="7">
        <f>$B2 * IFERROR(VLOOKUP("buildings|NOx|Premature mortality", US_national_yearly!$D:$AM, 25, FALSE) / VLOOKUP("buildings|NOx|Premature mortality", US_national_yearly!$D:$AM, 10, FALSE), 1)</f>
        <v>1.1270159590066494E-3</v>
      </c>
      <c r="R2" s="7">
        <f>$B2 * IFERROR(VLOOKUP("buildings|NOx|Premature mortality", US_national_yearly!$D:$AM, 26, FALSE) / VLOOKUP("buildings|NOx|Premature mortality", US_national_yearly!$D:$AM, 10, FALSE), 1)</f>
        <v>1.1384393129177605E-3</v>
      </c>
      <c r="S2" s="7">
        <f>$B2 * IFERROR(VLOOKUP("buildings|NOx|Premature mortality", US_national_yearly!$D:$AM, 27, FALSE) / VLOOKUP("buildings|NOx|Premature mortality", US_national_yearly!$D:$AM, 10, FALSE), 1)</f>
        <v>1.1436328199793057E-3</v>
      </c>
      <c r="T2" s="7">
        <f>$B2 * IFERROR(VLOOKUP("buildings|NOx|Premature mortality", US_national_yearly!$D:$AM, 28, FALSE) / VLOOKUP("buildings|NOx|Premature mortality", US_national_yearly!$D:$AM, 10, FALSE), 1)</f>
        <v>1.1488263270408507E-3</v>
      </c>
      <c r="U2" s="7">
        <f>$B2 * IFERROR(VLOOKUP("buildings|NOx|Premature mortality", US_national_yearly!$D:$AM, 29, FALSE) / VLOOKUP("buildings|NOx|Premature mortality", US_national_yearly!$D:$AM, 10, FALSE), 1)</f>
        <v>1.1540198341023957E-3</v>
      </c>
      <c r="V2" s="7">
        <f>$B2 * IFERROR(VLOOKUP("buildings|NOx|Premature mortality", US_national_yearly!$D:$AM, 30, FALSE) / VLOOKUP("buildings|NOx|Premature mortality", US_national_yearly!$D:$AM, 10, FALSE), 1)</f>
        <v>1.1592133411639409E-3</v>
      </c>
      <c r="W2" s="7">
        <f>$B2 * IFERROR(VLOOKUP("buildings|NOx|Premature mortality", US_national_yearly!$D:$AM, 31, FALSE) / VLOOKUP("buildings|NOx|Premature mortality", US_national_yearly!$D:$AM, 10, FALSE), 1)</f>
        <v>1.1644068482254859E-3</v>
      </c>
      <c r="X2" s="7">
        <f>$B2 * IFERROR(VLOOKUP("buildings|NOx|Premature mortality", US_national_yearly!$D:$AM, 32, FALSE) / VLOOKUP("buildings|NOx|Premature mortality", US_national_yearly!$D:$AM, 10, FALSE), 1)</f>
        <v>1.1645897593106098E-3</v>
      </c>
      <c r="Y2" s="7">
        <f>$B2 * IFERROR(VLOOKUP("buildings|NOx|Premature mortality", US_national_yearly!$D:$AM, 33, FALSE) / VLOOKUP("buildings|NOx|Premature mortality", US_national_yearly!$D:$AM, 10, FALSE), 1)</f>
        <v>1.1647726703957334E-3</v>
      </c>
      <c r="Z2" s="7">
        <f>$B2 * IFERROR(VLOOKUP("buildings|NOx|Premature mortality", US_national_yearly!$D:$AM, 34, FALSE) / VLOOKUP("buildings|NOx|Premature mortality", US_national_yearly!$D:$AM, 10, FALSE), 1)</f>
        <v>1.1649555814808572E-3</v>
      </c>
      <c r="AA2" s="7">
        <f>$B2 * IFERROR(VLOOKUP("buildings|NOx|Premature mortality", US_national_yearly!$D:$AM, 35, FALSE) / VLOOKUP("buildings|NOx|Premature mortality", US_national_yearly!$D:$AM, 10, FALSE), 1)</f>
        <v>1.1651384925659809E-3</v>
      </c>
      <c r="AB2" s="7">
        <f>$B2 * IFERROR(VLOOKUP("buildings|NOx|Premature mortality", US_national_yearly!$D:$AM, 36, FALSE) / VLOOKUP("buildings|NOx|Premature mortality", US_national_yearly!$D:$AM, 10, FALSE), 1)</f>
        <v>1.1653214036511047E-3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1.9549461653673897E-6</v>
      </c>
      <c r="C3" s="7">
        <f>$B3 * IFERROR(VLOOKUP("buildings|NOx|Infant mortality", US_national_yearly!$D:$AM, 11, FALSE) / VLOOKUP("buildings|NOx|Infant mortality", US_national_yearly!$D:$AM, 10, FALSE), 1)</f>
        <v>1.9363764711926971E-6</v>
      </c>
      <c r="D3" s="7">
        <f>$B3 * IFERROR(VLOOKUP("buildings|NOx|Infant mortality", US_national_yearly!$D:$AM, 12, FALSE) / VLOOKUP("buildings|NOx|Infant mortality", US_national_yearly!$D:$AM, 10, FALSE), 1)</f>
        <v>1.9178067770180041E-6</v>
      </c>
      <c r="E3" s="7">
        <f>$B3 * IFERROR(VLOOKUP("buildings|NOx|Infant mortality", US_national_yearly!$D:$AM, 13, FALSE) / VLOOKUP("buildings|NOx|Infant mortality", US_national_yearly!$D:$AM, 10, FALSE), 1)</f>
        <v>1.8992370828433117E-6</v>
      </c>
      <c r="F3" s="7">
        <f>$B3 * IFERROR(VLOOKUP("buildings|NOx|Infant mortality", US_national_yearly!$D:$AM, 14, FALSE) / VLOOKUP("buildings|NOx|Infant mortality", US_national_yearly!$D:$AM, 10, FALSE), 1)</f>
        <v>1.8806673886686187E-6</v>
      </c>
      <c r="G3" s="7">
        <f>$B3 * IFERROR(VLOOKUP("buildings|NOx|Infant mortality", US_national_yearly!$D:$AM, 15, FALSE) / VLOOKUP("buildings|NOx|Infant mortality", US_national_yearly!$D:$AM, 10, FALSE), 1)</f>
        <v>1.2482693713786133E-6</v>
      </c>
      <c r="H3" s="7">
        <f>$B3 * IFERROR(VLOOKUP("buildings|NOx|Infant mortality", US_national_yearly!$D:$AM, 16, FALSE) / VLOOKUP("buildings|NOx|Infant mortality", US_national_yearly!$D:$AM, 10, FALSE), 1)</f>
        <v>6.1587135408860765E-7</v>
      </c>
      <c r="I3" s="7">
        <f>$B3 * IFERROR(VLOOKUP("buildings|NOx|Infant mortality", US_national_yearly!$D:$AM, 17, FALSE) / VLOOKUP("buildings|NOx|Infant mortality", US_national_yearly!$D:$AM, 10, FALSE), 1)</f>
        <v>6.1152049495522796E-7</v>
      </c>
      <c r="J3" s="7">
        <f>$B3 * IFERROR(VLOOKUP("buildings|NOx|Infant mortality", US_national_yearly!$D:$AM, 18, FALSE) / VLOOKUP("buildings|NOx|Infant mortality", US_national_yearly!$D:$AM, 10, FALSE), 1)</f>
        <v>6.0716963582184817E-7</v>
      </c>
      <c r="K3" s="7">
        <f>$B3 * IFERROR(VLOOKUP("buildings|NOx|Infant mortality", US_national_yearly!$D:$AM, 19, FALSE) / VLOOKUP("buildings|NOx|Infant mortality", US_national_yearly!$D:$AM, 10, FALSE), 1)</f>
        <v>6.0281877668846838E-7</v>
      </c>
      <c r="L3" s="7">
        <f>$B3 * IFERROR(VLOOKUP("buildings|NOx|Infant mortality", US_national_yearly!$D:$AM, 20, FALSE) / VLOOKUP("buildings|NOx|Infant mortality", US_national_yearly!$D:$AM, 10, FALSE), 1)</f>
        <v>5.9846791755508869E-7</v>
      </c>
      <c r="M3" s="7">
        <f>$B3 * IFERROR(VLOOKUP("buildings|NOx|Infant mortality", US_national_yearly!$D:$AM, 21, FALSE) / VLOOKUP("buildings|NOx|Infant mortality", US_national_yearly!$D:$AM, 10, FALSE), 1)</f>
        <v>5.941170584217089E-7</v>
      </c>
      <c r="N3" s="7">
        <f>$B3 * IFERROR(VLOOKUP("buildings|NOx|Infant mortality", US_national_yearly!$D:$AM, 22, FALSE) / VLOOKUP("buildings|NOx|Infant mortality", US_national_yearly!$D:$AM, 10, FALSE), 1)</f>
        <v>5.912339876783027E-7</v>
      </c>
      <c r="O3" s="7">
        <f>$B3 * IFERROR(VLOOKUP("buildings|NOx|Infant mortality", US_national_yearly!$D:$AM, 23, FALSE) / VLOOKUP("buildings|NOx|Infant mortality", US_national_yearly!$D:$AM, 10, FALSE), 1)</f>
        <v>5.8835091693489661E-7</v>
      </c>
      <c r="P3" s="7">
        <f>$B3 * IFERROR(VLOOKUP("buildings|NOx|Infant mortality", US_national_yearly!$D:$AM, 24, FALSE) / VLOOKUP("buildings|NOx|Infant mortality", US_national_yearly!$D:$AM, 10, FALSE), 1)</f>
        <v>5.8546784619149052E-7</v>
      </c>
      <c r="Q3" s="7">
        <f>$B3 * IFERROR(VLOOKUP("buildings|NOx|Infant mortality", US_national_yearly!$D:$AM, 25, FALSE) / VLOOKUP("buildings|NOx|Infant mortality", US_national_yearly!$D:$AM, 10, FALSE), 1)</f>
        <v>5.8258477544808453E-7</v>
      </c>
      <c r="R3" s="7">
        <f>$B3 * IFERROR(VLOOKUP("buildings|NOx|Infant mortality", US_national_yearly!$D:$AM, 26, FALSE) / VLOOKUP("buildings|NOx|Infant mortality", US_national_yearly!$D:$AM, 10, FALSE), 1)</f>
        <v>5.7970170470467834E-7</v>
      </c>
      <c r="S3" s="7">
        <f>$B3 * IFERROR(VLOOKUP("buildings|NOx|Infant mortality", US_national_yearly!$D:$AM, 27, FALSE) / VLOOKUP("buildings|NOx|Infant mortality", US_national_yearly!$D:$AM, 10, FALSE), 1)</f>
        <v>5.7623355473583101E-7</v>
      </c>
      <c r="T3" s="7">
        <f>$B3 * IFERROR(VLOOKUP("buildings|NOx|Infant mortality", US_national_yearly!$D:$AM, 28, FALSE) / VLOOKUP("buildings|NOx|Infant mortality", US_national_yearly!$D:$AM, 10, FALSE), 1)</f>
        <v>5.727654047669838E-7</v>
      </c>
      <c r="U3" s="7">
        <f>$B3 * IFERROR(VLOOKUP("buildings|NOx|Infant mortality", US_national_yearly!$D:$AM, 29, FALSE) / VLOOKUP("buildings|NOx|Infant mortality", US_national_yearly!$D:$AM, 10, FALSE), 1)</f>
        <v>5.6929725479813637E-7</v>
      </c>
      <c r="V3" s="7">
        <f>$B3 * IFERROR(VLOOKUP("buildings|NOx|Infant mortality", US_national_yearly!$D:$AM, 30, FALSE) / VLOOKUP("buildings|NOx|Infant mortality", US_national_yearly!$D:$AM, 10, FALSE), 1)</f>
        <v>5.6582910482928905E-7</v>
      </c>
      <c r="W3" s="7">
        <f>$B3 * IFERROR(VLOOKUP("buildings|NOx|Infant mortality", US_national_yearly!$D:$AM, 31, FALSE) / VLOOKUP("buildings|NOx|Infant mortality", US_national_yearly!$D:$AM, 10, FALSE), 1)</f>
        <v>5.6236095486044183E-7</v>
      </c>
      <c r="X3" s="7">
        <f>$B3 * IFERROR(VLOOKUP("buildings|NOx|Infant mortality", US_national_yearly!$D:$AM, 32, FALSE) / VLOOKUP("buildings|NOx|Infant mortality", US_national_yearly!$D:$AM, 10, FALSE), 1)</f>
        <v>5.586913482304171E-7</v>
      </c>
      <c r="Y3" s="7">
        <f>$B3 * IFERROR(VLOOKUP("buildings|NOx|Infant mortality", US_national_yearly!$D:$AM, 33, FALSE) / VLOOKUP("buildings|NOx|Infant mortality", US_national_yearly!$D:$AM, 10, FALSE), 1)</f>
        <v>5.5502174160039259E-7</v>
      </c>
      <c r="Z3" s="7">
        <f>$B3 * IFERROR(VLOOKUP("buildings|NOx|Infant mortality", US_national_yearly!$D:$AM, 34, FALSE) / VLOOKUP("buildings|NOx|Infant mortality", US_national_yearly!$D:$AM, 10, FALSE), 1)</f>
        <v>5.5135213497036786E-7</v>
      </c>
      <c r="AA3" s="7">
        <f>$B3 * IFERROR(VLOOKUP("buildings|NOx|Infant mortality", US_national_yearly!$D:$AM, 35, FALSE) / VLOOKUP("buildings|NOx|Infant mortality", US_national_yearly!$D:$AM, 10, FALSE), 1)</f>
        <v>5.4768252834034314E-7</v>
      </c>
      <c r="AB3" s="7">
        <f>$B3 * IFERROR(VLOOKUP("buildings|NOx|Infant mortality", US_national_yearly!$D:$AM, 36, FALSE) / VLOOKUP("buildings|NOx|Infant mortality", US_national_yearly!$D:$AM, 10, FALSE), 1)</f>
        <v>5.4401292171031851E-7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2.2144423367401137E-3</v>
      </c>
      <c r="C6" s="7">
        <f>$B6 * IFERROR(VLOOKUP("buildings|NOx|Asthma symptoms cough", US_national_yearly!$D:$AM, 11, FALSE) / VLOOKUP("buildings|NOx|Asthma symptoms cough", US_national_yearly!$D:$AM, 10, FALSE), 1)</f>
        <v>2.2447475832915505E-3</v>
      </c>
      <c r="D6" s="7">
        <f>$B6 * IFERROR(VLOOKUP("buildings|NOx|Asthma symptoms cough", US_national_yearly!$D:$AM, 12, FALSE) / VLOOKUP("buildings|NOx|Asthma symptoms cough", US_national_yearly!$D:$AM, 10, FALSE), 1)</f>
        <v>2.2750528298429878E-3</v>
      </c>
      <c r="E6" s="7">
        <f>$B6 * IFERROR(VLOOKUP("buildings|NOx|Asthma symptoms cough", US_national_yearly!$D:$AM, 13, FALSE) / VLOOKUP("buildings|NOx|Asthma symptoms cough", US_national_yearly!$D:$AM, 10, FALSE), 1)</f>
        <v>2.3053580763944246E-3</v>
      </c>
      <c r="F6" s="7">
        <f>$B6 * IFERROR(VLOOKUP("buildings|NOx|Asthma symptoms cough", US_national_yearly!$D:$AM, 14, FALSE) / VLOOKUP("buildings|NOx|Asthma symptoms cough", US_national_yearly!$D:$AM, 10, FALSE), 1)</f>
        <v>2.3356633229458614E-3</v>
      </c>
      <c r="G6" s="7">
        <f>$B6 * IFERROR(VLOOKUP("buildings|NOx|Asthma symptoms cough", US_national_yearly!$D:$AM, 15, FALSE) / VLOOKUP("buildings|NOx|Asthma symptoms cough", US_national_yearly!$D:$AM, 10, FALSE), 1)</f>
        <v>2.359882893525882E-3</v>
      </c>
      <c r="H6" s="7">
        <f>$B6 * IFERROR(VLOOKUP("buildings|NOx|Asthma symptoms cough", US_national_yearly!$D:$AM, 16, FALSE) / VLOOKUP("buildings|NOx|Asthma symptoms cough", US_national_yearly!$D:$AM, 10, FALSE), 1)</f>
        <v>2.3841024641059029E-3</v>
      </c>
      <c r="I6" s="7">
        <f>$B6 * IFERROR(VLOOKUP("buildings|NOx|Asthma symptoms cough", US_national_yearly!$D:$AM, 17, FALSE) / VLOOKUP("buildings|NOx|Asthma symptoms cough", US_national_yearly!$D:$AM, 10, FALSE), 1)</f>
        <v>2.3924841421621079E-3</v>
      </c>
      <c r="J6" s="7">
        <f>$B6 * IFERROR(VLOOKUP("buildings|NOx|Asthma symptoms cough", US_national_yearly!$D:$AM, 18, FALSE) / VLOOKUP("buildings|NOx|Asthma symptoms cough", US_national_yearly!$D:$AM, 10, FALSE), 1)</f>
        <v>2.4008658202183133E-3</v>
      </c>
      <c r="K6" s="7">
        <f>$B6 * IFERROR(VLOOKUP("buildings|NOx|Asthma symptoms cough", US_national_yearly!$D:$AM, 19, FALSE) / VLOOKUP("buildings|NOx|Asthma symptoms cough", US_national_yearly!$D:$AM, 10, FALSE), 1)</f>
        <v>2.4092474982745182E-3</v>
      </c>
      <c r="L6" s="7">
        <f>$B6 * IFERROR(VLOOKUP("buildings|NOx|Asthma symptoms cough", US_national_yearly!$D:$AM, 20, FALSE) / VLOOKUP("buildings|NOx|Asthma symptoms cough", US_national_yearly!$D:$AM, 10, FALSE), 1)</f>
        <v>2.4176291763307232E-3</v>
      </c>
      <c r="M6" s="7">
        <f>$B6 * IFERROR(VLOOKUP("buildings|NOx|Asthma symptoms cough", US_national_yearly!$D:$AM, 21, FALSE) / VLOOKUP("buildings|NOx|Asthma symptoms cough", US_national_yearly!$D:$AM, 10, FALSE), 1)</f>
        <v>2.4260108543869281E-3</v>
      </c>
      <c r="N6" s="7">
        <f>$B6 * IFERROR(VLOOKUP("buildings|NOx|Asthma symptoms cough", US_national_yearly!$D:$AM, 22, FALSE) / VLOOKUP("buildings|NOx|Asthma symptoms cough", US_national_yearly!$D:$AM, 10, FALSE), 1)</f>
        <v>2.4357026918898511E-3</v>
      </c>
      <c r="O6" s="7">
        <f>$B6 * IFERROR(VLOOKUP("buildings|NOx|Asthma symptoms cough", US_national_yearly!$D:$AM, 23, FALSE) / VLOOKUP("buildings|NOx|Asthma symptoms cough", US_national_yearly!$D:$AM, 10, FALSE), 1)</f>
        <v>2.4453945293927731E-3</v>
      </c>
      <c r="P6" s="7">
        <f>$B6 * IFERROR(VLOOKUP("buildings|NOx|Asthma symptoms cough", US_national_yearly!$D:$AM, 24, FALSE) / VLOOKUP("buildings|NOx|Asthma symptoms cough", US_national_yearly!$D:$AM, 10, FALSE), 1)</f>
        <v>2.4550863668956957E-3</v>
      </c>
      <c r="Q6" s="7">
        <f>$B6 * IFERROR(VLOOKUP("buildings|NOx|Asthma symptoms cough", US_national_yearly!$D:$AM, 25, FALSE) / VLOOKUP("buildings|NOx|Asthma symptoms cough", US_national_yearly!$D:$AM, 10, FALSE), 1)</f>
        <v>2.4647782043986186E-3</v>
      </c>
      <c r="R6" s="7">
        <f>$B6 * IFERROR(VLOOKUP("buildings|NOx|Asthma symptoms cough", US_national_yearly!$D:$AM, 26, FALSE) / VLOOKUP("buildings|NOx|Asthma symptoms cough", US_national_yearly!$D:$AM, 10, FALSE), 1)</f>
        <v>2.4744700419015407E-3</v>
      </c>
      <c r="S6" s="7">
        <f>$B6 * IFERROR(VLOOKUP("buildings|NOx|Asthma symptoms cough", US_national_yearly!$D:$AM, 27, FALSE) / VLOOKUP("buildings|NOx|Asthma symptoms cough", US_national_yearly!$D:$AM, 10, FALSE), 1)</f>
        <v>2.4871277870769193E-3</v>
      </c>
      <c r="T6" s="7">
        <f>$B6 * IFERROR(VLOOKUP("buildings|NOx|Asthma symptoms cough", US_national_yearly!$D:$AM, 28, FALSE) / VLOOKUP("buildings|NOx|Asthma symptoms cough", US_national_yearly!$D:$AM, 10, FALSE), 1)</f>
        <v>2.4997855322522974E-3</v>
      </c>
      <c r="U6" s="7">
        <f>$B6 * IFERROR(VLOOKUP("buildings|NOx|Asthma symptoms cough", US_national_yearly!$D:$AM, 29, FALSE) / VLOOKUP("buildings|NOx|Asthma symptoms cough", US_national_yearly!$D:$AM, 10, FALSE), 1)</f>
        <v>2.5124432774276755E-3</v>
      </c>
      <c r="V6" s="7">
        <f>$B6 * IFERROR(VLOOKUP("buildings|NOx|Asthma symptoms cough", US_national_yearly!$D:$AM, 30, FALSE) / VLOOKUP("buildings|NOx|Asthma symptoms cough", US_national_yearly!$D:$AM, 10, FALSE), 1)</f>
        <v>2.5251010226030545E-3</v>
      </c>
      <c r="W6" s="7">
        <f>$B6 * IFERROR(VLOOKUP("buildings|NOx|Asthma symptoms cough", US_national_yearly!$D:$AM, 31, FALSE) / VLOOKUP("buildings|NOx|Asthma symptoms cough", US_national_yearly!$D:$AM, 10, FALSE), 1)</f>
        <v>2.5377587677784326E-3</v>
      </c>
      <c r="X6" s="7">
        <f>$B6 * IFERROR(VLOOKUP("buildings|NOx|Asthma symptoms cough", US_national_yearly!$D:$AM, 32, FALSE) / VLOOKUP("buildings|NOx|Asthma symptoms cough", US_national_yearly!$D:$AM, 10, FALSE), 1)</f>
        <v>2.5495195547858185E-3</v>
      </c>
      <c r="Y6" s="7">
        <f>$B6 * IFERROR(VLOOKUP("buildings|NOx|Asthma symptoms cough", US_national_yearly!$D:$AM, 33, FALSE) / VLOOKUP("buildings|NOx|Asthma symptoms cough", US_national_yearly!$D:$AM, 10, FALSE), 1)</f>
        <v>2.5612803417932048E-3</v>
      </c>
      <c r="Z6" s="7">
        <f>$B6 * IFERROR(VLOOKUP("buildings|NOx|Asthma symptoms cough", US_national_yearly!$D:$AM, 34, FALSE) / VLOOKUP("buildings|NOx|Asthma symptoms cough", US_national_yearly!$D:$AM, 10, FALSE), 1)</f>
        <v>2.5730411288005912E-3</v>
      </c>
      <c r="AA6" s="7">
        <f>$B6 * IFERROR(VLOOKUP("buildings|NOx|Asthma symptoms cough", US_national_yearly!$D:$AM, 35, FALSE) / VLOOKUP("buildings|NOx|Asthma symptoms cough", US_national_yearly!$D:$AM, 10, FALSE), 1)</f>
        <v>2.5848019158079775E-3</v>
      </c>
      <c r="AB6" s="7">
        <f>$B6 * IFERROR(VLOOKUP("buildings|NOx|Asthma symptoms cough", US_national_yearly!$D:$AM, 36, FALSE) / VLOOKUP("buildings|NOx|Asthma symptoms cough", US_national_yearly!$D:$AM, 10, FALSE), 1)</f>
        <v>2.5965627028153638E-3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2.9820654151026527E-3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3.0228757924870338E-3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3.063686169871415E-3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3.1044965472557962E-3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3.1453069246401774E-3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3.1779220631390648E-3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3.2105372016379523E-3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3.2218243376776795E-3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3.2331114737174068E-3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3.2443986097571349E-3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3.2556857457968626E-3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3.2669728818365902E-3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3.2800243362138656E-3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3.2930757905911406E-3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3.3061272449684161E-3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3.3191786993456915E-3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3.3322301537229669E-3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3.3492756298221828E-3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3.3663211059213991E-3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3.3833665820206149E-3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3.4004120581198304E-3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3.4174575342190467E-3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3.43329512700828E-3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3.449132719797513E-3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3.4649703125867468E-3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3.4808079053759789E-3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3.4966454981652127E-3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4.5560995469605646E-3</v>
      </c>
      <c r="C8" s="7">
        <f>$B8 * IFERROR(VLOOKUP("buildings|NOx|Asthma symptoms wheeze", US_national_yearly!$D:$AM, 11, FALSE) / VLOOKUP("buildings|NOx|Asthma symptoms wheeze", US_national_yearly!$D:$AM, 10, FALSE), 1)</f>
        <v>4.6184510102826289E-3</v>
      </c>
      <c r="D8" s="7">
        <f>$B8 * IFERROR(VLOOKUP("buildings|NOx|Asthma symptoms wheeze", US_national_yearly!$D:$AM, 12, FALSE) / VLOOKUP("buildings|NOx|Asthma symptoms wheeze", US_national_yearly!$D:$AM, 10, FALSE), 1)</f>
        <v>4.6808024736046932E-3</v>
      </c>
      <c r="E8" s="7">
        <f>$B8 * IFERROR(VLOOKUP("buildings|NOx|Asthma symptoms wheeze", US_national_yearly!$D:$AM, 13, FALSE) / VLOOKUP("buildings|NOx|Asthma symptoms wheeze", US_national_yearly!$D:$AM, 10, FALSE), 1)</f>
        <v>4.7431539369267566E-3</v>
      </c>
      <c r="F8" s="7">
        <f>$B8 * IFERROR(VLOOKUP("buildings|NOx|Asthma symptoms wheeze", US_national_yearly!$D:$AM, 14, FALSE) / VLOOKUP("buildings|NOx|Asthma symptoms wheeze", US_national_yearly!$D:$AM, 10, FALSE), 1)</f>
        <v>4.8055054002488218E-3</v>
      </c>
      <c r="G8" s="7">
        <f>$B8 * IFERROR(VLOOKUP("buildings|NOx|Asthma symptoms wheeze", US_national_yearly!$D:$AM, 15, FALSE) / VLOOKUP("buildings|NOx|Asthma symptoms wheeze", US_national_yearly!$D:$AM, 10, FALSE), 1)</f>
        <v>4.8553359028373063E-3</v>
      </c>
      <c r="H8" s="7">
        <f>$B8 * IFERROR(VLOOKUP("buildings|NOx|Asthma symptoms wheeze", US_national_yearly!$D:$AM, 16, FALSE) / VLOOKUP("buildings|NOx|Asthma symptoms wheeze", US_national_yearly!$D:$AM, 10, FALSE), 1)</f>
        <v>4.9051664054257892E-3</v>
      </c>
      <c r="I8" s="7">
        <f>$B8 * IFERROR(VLOOKUP("buildings|NOx|Asthma symptoms wheeze", US_national_yearly!$D:$AM, 17, FALSE) / VLOOKUP("buildings|NOx|Asthma symptoms wheeze", US_national_yearly!$D:$AM, 10, FALSE), 1)</f>
        <v>4.9224112706375833E-3</v>
      </c>
      <c r="J8" s="7">
        <f>$B8 * IFERROR(VLOOKUP("buildings|NOx|Asthma symptoms wheeze", US_national_yearly!$D:$AM, 18, FALSE) / VLOOKUP("buildings|NOx|Asthma symptoms wheeze", US_national_yearly!$D:$AM, 10, FALSE), 1)</f>
        <v>4.9396561358493758E-3</v>
      </c>
      <c r="K8" s="7">
        <f>$B8 * IFERROR(VLOOKUP("buildings|NOx|Asthma symptoms wheeze", US_national_yearly!$D:$AM, 19, FALSE) / VLOOKUP("buildings|NOx|Asthma symptoms wheeze", US_national_yearly!$D:$AM, 10, FALSE), 1)</f>
        <v>4.9569010010611682E-3</v>
      </c>
      <c r="L8" s="7">
        <f>$B8 * IFERROR(VLOOKUP("buildings|NOx|Asthma symptoms wheeze", US_national_yearly!$D:$AM, 20, FALSE) / VLOOKUP("buildings|NOx|Asthma symptoms wheeze", US_national_yearly!$D:$AM, 10, FALSE), 1)</f>
        <v>4.9741458662729597E-3</v>
      </c>
      <c r="M8" s="7">
        <f>$B8 * IFERROR(VLOOKUP("buildings|NOx|Asthma symptoms wheeze", US_national_yearly!$D:$AM, 21, FALSE) / VLOOKUP("buildings|NOx|Asthma symptoms wheeze", US_national_yearly!$D:$AM, 10, FALSE), 1)</f>
        <v>4.9913907314847539E-3</v>
      </c>
      <c r="N8" s="7">
        <f>$B8 * IFERROR(VLOOKUP("buildings|NOx|Asthma symptoms wheeze", US_national_yearly!$D:$AM, 22, FALSE) / VLOOKUP("buildings|NOx|Asthma symptoms wheeze", US_national_yearly!$D:$AM, 10, FALSE), 1)</f>
        <v>5.0113311813896446E-3</v>
      </c>
      <c r="O8" s="7">
        <f>$B8 * IFERROR(VLOOKUP("buildings|NOx|Asthma symptoms wheeze", US_national_yearly!$D:$AM, 23, FALSE) / VLOOKUP("buildings|NOx|Asthma symptoms wheeze", US_national_yearly!$D:$AM, 10, FALSE), 1)</f>
        <v>5.0312716312945361E-3</v>
      </c>
      <c r="P8" s="7">
        <f>$B8 * IFERROR(VLOOKUP("buildings|NOx|Asthma symptoms wheeze", US_national_yearly!$D:$AM, 24, FALSE) / VLOOKUP("buildings|NOx|Asthma symptoms wheeze", US_national_yearly!$D:$AM, 10, FALSE), 1)</f>
        <v>5.0512120811994268E-3</v>
      </c>
      <c r="Q8" s="7">
        <f>$B8 * IFERROR(VLOOKUP("buildings|NOx|Asthma symptoms wheeze", US_national_yearly!$D:$AM, 25, FALSE) / VLOOKUP("buildings|NOx|Asthma symptoms wheeze", US_national_yearly!$D:$AM, 10, FALSE), 1)</f>
        <v>5.0711525311043183E-3</v>
      </c>
      <c r="R8" s="7">
        <f>$B8 * IFERROR(VLOOKUP("buildings|NOx|Asthma symptoms wheeze", US_national_yearly!$D:$AM, 26, FALSE) / VLOOKUP("buildings|NOx|Asthma symptoms wheeze", US_national_yearly!$D:$AM, 10, FALSE), 1)</f>
        <v>5.0910929810092089E-3</v>
      </c>
      <c r="S8" s="7">
        <f>$B8 * IFERROR(VLOOKUP("buildings|NOx|Asthma symptoms wheeze", US_national_yearly!$D:$AM, 27, FALSE) / VLOOKUP("buildings|NOx|Asthma symptoms wheeze", US_national_yearly!$D:$AM, 10, FALSE), 1)</f>
        <v>5.1171356311838535E-3</v>
      </c>
      <c r="T8" s="7">
        <f>$B8 * IFERROR(VLOOKUP("buildings|NOx|Asthma symptoms wheeze", US_national_yearly!$D:$AM, 28, FALSE) / VLOOKUP("buildings|NOx|Asthma symptoms wheeze", US_national_yearly!$D:$AM, 10, FALSE), 1)</f>
        <v>5.1431782813584973E-3</v>
      </c>
      <c r="U8" s="7">
        <f>$B8 * IFERROR(VLOOKUP("buildings|NOx|Asthma symptoms wheeze", US_national_yearly!$D:$AM, 29, FALSE) / VLOOKUP("buildings|NOx|Asthma symptoms wheeze", US_national_yearly!$D:$AM, 10, FALSE), 1)</f>
        <v>5.1692209315331418E-3</v>
      </c>
      <c r="V8" s="7">
        <f>$B8 * IFERROR(VLOOKUP("buildings|NOx|Asthma symptoms wheeze", US_national_yearly!$D:$AM, 30, FALSE) / VLOOKUP("buildings|NOx|Asthma symptoms wheeze", US_national_yearly!$D:$AM, 10, FALSE), 1)</f>
        <v>5.1952635817077856E-3</v>
      </c>
      <c r="W8" s="7">
        <f>$B8 * IFERROR(VLOOKUP("buildings|NOx|Asthma symptoms wheeze", US_national_yearly!$D:$AM, 31, FALSE) / VLOOKUP("buildings|NOx|Asthma symptoms wheeze", US_national_yearly!$D:$AM, 10, FALSE), 1)</f>
        <v>5.2213062318824301E-3</v>
      </c>
      <c r="X8" s="7">
        <f>$B8 * IFERROR(VLOOKUP("buildings|NOx|Asthma symptoms wheeze", US_national_yearly!$D:$AM, 32, FALSE) / VLOOKUP("buildings|NOx|Asthma symptoms wheeze", US_national_yearly!$D:$AM, 10, FALSE), 1)</f>
        <v>5.245503437433967E-3</v>
      </c>
      <c r="Y8" s="7">
        <f>$B8 * IFERROR(VLOOKUP("buildings|NOx|Asthma symptoms wheeze", US_national_yearly!$D:$AM, 33, FALSE) / VLOOKUP("buildings|NOx|Asthma symptoms wheeze", US_national_yearly!$D:$AM, 10, FALSE), 1)</f>
        <v>5.2697006429855038E-3</v>
      </c>
      <c r="Z8" s="7">
        <f>$B8 * IFERROR(VLOOKUP("buildings|NOx|Asthma symptoms wheeze", US_national_yearly!$D:$AM, 34, FALSE) / VLOOKUP("buildings|NOx|Asthma symptoms wheeze", US_national_yearly!$D:$AM, 10, FALSE), 1)</f>
        <v>5.2938978485370424E-3</v>
      </c>
      <c r="AA8" s="7">
        <f>$B8 * IFERROR(VLOOKUP("buildings|NOx|Asthma symptoms wheeze", US_national_yearly!$D:$AM, 35, FALSE) / VLOOKUP("buildings|NOx|Asthma symptoms wheeze", US_national_yearly!$D:$AM, 10, FALSE), 1)</f>
        <v>5.3180950540885792E-3</v>
      </c>
      <c r="AB8" s="7">
        <f>$B8 * IFERROR(VLOOKUP("buildings|NOx|Asthma symptoms wheeze", US_national_yearly!$D:$AM, 36, FALSE) / VLOOKUP("buildings|NOx|Asthma symptoms wheeze", US_national_yearly!$D:$AM, 10, FALSE), 1)</f>
        <v>5.3422922596401178E-3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6.9690256003209129E-5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7.143142178490144E-5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7.3172587566593751E-5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7.4913753348286062E-5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7.6654919129978374E-5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7.831952660057301E-5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7.9984134071167605E-5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8.1398178898843882E-5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8.2812223726520158E-5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8.4226268554196421E-5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8.5640313381872698E-5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8.7054358209548975E-5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8.7999639396482913E-5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8.894492058341685E-5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8.9890201770350788E-5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9.083548295728474E-5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9.1780764144218664E-5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9.2287595290076177E-5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9.279442643593369E-5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9.330125758179119E-5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9.3808088727648703E-5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9.4314919873506202E-5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9.4661869707459879E-5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9.5008819541413529E-5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9.5355769375367219E-5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9.5702719209320882E-5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9.6049669043274559E-5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3.2697969918470381E-4</v>
      </c>
      <c r="C13" s="7">
        <f>$B13 * IFERROR(VLOOKUP("buildings|NOx|Non-fatal heart attacks", US_national_yearly!$D:$AM, 11, FALSE) / VLOOKUP("buildings|NOx|Non-fatal heart attacks", US_national_yearly!$D:$AM, 10, FALSE), 1)</f>
        <v>3.3633392171155638E-4</v>
      </c>
      <c r="D13" s="7">
        <f>$B13 * IFERROR(VLOOKUP("buildings|NOx|Non-fatal heart attacks", US_national_yearly!$D:$AM, 12, FALSE) / VLOOKUP("buildings|NOx|Non-fatal heart attacks", US_national_yearly!$D:$AM, 10, FALSE), 1)</f>
        <v>3.4568814423840911E-4</v>
      </c>
      <c r="E13" s="7">
        <f>$B13 * IFERROR(VLOOKUP("buildings|NOx|Non-fatal heart attacks", US_national_yearly!$D:$AM, 13, FALSE) / VLOOKUP("buildings|NOx|Non-fatal heart attacks", US_national_yearly!$D:$AM, 10, FALSE), 1)</f>
        <v>3.5504236676526168E-4</v>
      </c>
      <c r="F13" s="7">
        <f>$B13 * IFERROR(VLOOKUP("buildings|NOx|Non-fatal heart attacks", US_national_yearly!$D:$AM, 14, FALSE) / VLOOKUP("buildings|NOx|Non-fatal heart attacks", US_national_yearly!$D:$AM, 10, FALSE), 1)</f>
        <v>3.6439658929211425E-4</v>
      </c>
      <c r="G13" s="7">
        <f>$B13 * IFERROR(VLOOKUP("buildings|NOx|Non-fatal heart attacks", US_national_yearly!$D:$AM, 15, FALSE) / VLOOKUP("buildings|NOx|Non-fatal heart attacks", US_national_yearly!$D:$AM, 10, FALSE), 1)</f>
        <v>3.7313994962560187E-4</v>
      </c>
      <c r="H13" s="7">
        <f>$B13 * IFERROR(VLOOKUP("buildings|NOx|Non-fatal heart attacks", US_national_yearly!$D:$AM, 16, FALSE) / VLOOKUP("buildings|NOx|Non-fatal heart attacks", US_national_yearly!$D:$AM, 10, FALSE), 1)</f>
        <v>3.8188330995908955E-4</v>
      </c>
      <c r="I13" s="7">
        <f>$B13 * IFERROR(VLOOKUP("buildings|NOx|Non-fatal heart attacks", US_national_yearly!$D:$AM, 17, FALSE) / VLOOKUP("buildings|NOx|Non-fatal heart attacks", US_national_yearly!$D:$AM, 10, FALSE), 1)</f>
        <v>3.887811927496932E-4</v>
      </c>
      <c r="J13" s="7">
        <f>$B13 * IFERROR(VLOOKUP("buildings|NOx|Non-fatal heart attacks", US_national_yearly!$D:$AM, 18, FALSE) / VLOOKUP("buildings|NOx|Non-fatal heart attacks", US_national_yearly!$D:$AM, 10, FALSE), 1)</f>
        <v>3.9567907554029685E-4</v>
      </c>
      <c r="K13" s="7">
        <f>$B13 * IFERROR(VLOOKUP("buildings|NOx|Non-fatal heart attacks", US_national_yearly!$D:$AM, 19, FALSE) / VLOOKUP("buildings|NOx|Non-fatal heart attacks", US_national_yearly!$D:$AM, 10, FALSE), 1)</f>
        <v>4.0257695833090072E-4</v>
      </c>
      <c r="L13" s="7">
        <f>$B13 * IFERROR(VLOOKUP("buildings|NOx|Non-fatal heart attacks", US_national_yearly!$D:$AM, 20, FALSE) / VLOOKUP("buildings|NOx|Non-fatal heart attacks", US_national_yearly!$D:$AM, 10, FALSE), 1)</f>
        <v>4.0947484112150416E-4</v>
      </c>
      <c r="M13" s="7">
        <f>$B13 * IFERROR(VLOOKUP("buildings|NOx|Non-fatal heart attacks", US_national_yearly!$D:$AM, 21, FALSE) / VLOOKUP("buildings|NOx|Non-fatal heart attacks", US_national_yearly!$D:$AM, 10, FALSE), 1)</f>
        <v>4.1637272391210797E-4</v>
      </c>
      <c r="N13" s="7">
        <f>$B13 * IFERROR(VLOOKUP("buildings|NOx|Non-fatal heart attacks", US_national_yearly!$D:$AM, 22, FALSE) / VLOOKUP("buildings|NOx|Non-fatal heart attacks", US_national_yearly!$D:$AM, 10, FALSE), 1)</f>
        <v>4.2052407887811343E-4</v>
      </c>
      <c r="O13" s="7">
        <f>$B13 * IFERROR(VLOOKUP("buildings|NOx|Non-fatal heart attacks", US_national_yearly!$D:$AM, 23, FALSE) / VLOOKUP("buildings|NOx|Non-fatal heart attacks", US_national_yearly!$D:$AM, 10, FALSE), 1)</f>
        <v>4.2467543384411879E-4</v>
      </c>
      <c r="P13" s="7">
        <f>$B13 * IFERROR(VLOOKUP("buildings|NOx|Non-fatal heart attacks", US_national_yearly!$D:$AM, 24, FALSE) / VLOOKUP("buildings|NOx|Non-fatal heart attacks", US_national_yearly!$D:$AM, 10, FALSE), 1)</f>
        <v>4.2882678881012425E-4</v>
      </c>
      <c r="Q13" s="7">
        <f>$B13 * IFERROR(VLOOKUP("buildings|NOx|Non-fatal heart attacks", US_national_yearly!$D:$AM, 25, FALSE) / VLOOKUP("buildings|NOx|Non-fatal heart attacks", US_national_yearly!$D:$AM, 10, FALSE), 1)</f>
        <v>4.3297814377612971E-4</v>
      </c>
      <c r="R13" s="7">
        <f>$B13 * IFERROR(VLOOKUP("buildings|NOx|Non-fatal heart attacks", US_national_yearly!$D:$AM, 26, FALSE) / VLOOKUP("buildings|NOx|Non-fatal heart attacks", US_national_yearly!$D:$AM, 10, FALSE), 1)</f>
        <v>4.3712949874213507E-4</v>
      </c>
      <c r="S13" s="7">
        <f>$B13 * IFERROR(VLOOKUP("buildings|NOx|Non-fatal heart attacks", US_national_yearly!$D:$AM, 27, FALSE) / VLOOKUP("buildings|NOx|Non-fatal heart attacks", US_national_yearly!$D:$AM, 10, FALSE), 1)</f>
        <v>4.39016037296984E-4</v>
      </c>
      <c r="T13" s="7">
        <f>$B13 * IFERROR(VLOOKUP("buildings|NOx|Non-fatal heart attacks", US_national_yearly!$D:$AM, 28, FALSE) / VLOOKUP("buildings|NOx|Non-fatal heart attacks", US_national_yearly!$D:$AM, 10, FALSE), 1)</f>
        <v>4.4090257585183303E-4</v>
      </c>
      <c r="U13" s="7">
        <f>$B13 * IFERROR(VLOOKUP("buildings|NOx|Non-fatal heart attacks", US_national_yearly!$D:$AM, 29, FALSE) / VLOOKUP("buildings|NOx|Non-fatal heart attacks", US_national_yearly!$D:$AM, 10, FALSE), 1)</f>
        <v>4.4278911440668196E-4</v>
      </c>
      <c r="V13" s="7">
        <f>$B13 * IFERROR(VLOOKUP("buildings|NOx|Non-fatal heart attacks", US_national_yearly!$D:$AM, 30, FALSE) / VLOOKUP("buildings|NOx|Non-fatal heart attacks", US_national_yearly!$D:$AM, 10, FALSE), 1)</f>
        <v>4.4467565296153083E-4</v>
      </c>
      <c r="W13" s="7">
        <f>$B13 * IFERROR(VLOOKUP("buildings|NOx|Non-fatal heart attacks", US_national_yearly!$D:$AM, 31, FALSE) / VLOOKUP("buildings|NOx|Non-fatal heart attacks", US_national_yearly!$D:$AM, 10, FALSE), 1)</f>
        <v>4.4656219151637981E-4</v>
      </c>
      <c r="X13" s="7">
        <f>$B13 * IFERROR(VLOOKUP("buildings|NOx|Non-fatal heart attacks", US_national_yearly!$D:$AM, 32, FALSE) / VLOOKUP("buildings|NOx|Non-fatal heart attacks", US_national_yearly!$D:$AM, 10, FALSE), 1)</f>
        <v>4.4782413218591183E-4</v>
      </c>
      <c r="Y13" s="7">
        <f>$B13 * IFERROR(VLOOKUP("buildings|NOx|Non-fatal heart attacks", US_national_yearly!$D:$AM, 33, FALSE) / VLOOKUP("buildings|NOx|Non-fatal heart attacks", US_national_yearly!$D:$AM, 10, FALSE), 1)</f>
        <v>4.4908607285544386E-4</v>
      </c>
      <c r="Z13" s="7">
        <f>$B13 * IFERROR(VLOOKUP("buildings|NOx|Non-fatal heart attacks", US_national_yearly!$D:$AM, 34, FALSE) / VLOOKUP("buildings|NOx|Non-fatal heart attacks", US_national_yearly!$D:$AM, 10, FALSE), 1)</f>
        <v>4.50348013524976E-4</v>
      </c>
      <c r="AA13" s="7">
        <f>$B13 * IFERROR(VLOOKUP("buildings|NOx|Non-fatal heart attacks", US_national_yearly!$D:$AM, 35, FALSE) / VLOOKUP("buildings|NOx|Non-fatal heart attacks", US_national_yearly!$D:$AM, 10, FALSE), 1)</f>
        <v>4.5160995419450803E-4</v>
      </c>
      <c r="AB13" s="7">
        <f>$B13 * IFERROR(VLOOKUP("buildings|NOx|Non-fatal heart attacks", US_national_yearly!$D:$AM, 36, FALSE) / VLOOKUP("buildings|NOx|Non-fatal heart attacks", US_national_yearly!$D:$AM, 10, FALSE), 1)</f>
        <v>4.5287189486404005E-4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0.30863574859654552</v>
      </c>
      <c r="C14" s="7">
        <f>$B14 * IFERROR(VLOOKUP("buildings|NOx|Minor restricted activity days", US_national_yearly!$D:$AM, 11, FALSE) / VLOOKUP("buildings|NOx|Minor restricted activity days", US_national_yearly!$D:$AM, 10, FALSE), 1)</f>
        <v>0.30911467828820161</v>
      </c>
      <c r="D14" s="7">
        <f>$B14 * IFERROR(VLOOKUP("buildings|NOx|Minor restricted activity days", US_national_yearly!$D:$AM, 12, FALSE) / VLOOKUP("buildings|NOx|Minor restricted activity days", US_national_yearly!$D:$AM, 10, FALSE), 1)</f>
        <v>0.30959360797985769</v>
      </c>
      <c r="E14" s="7">
        <f>$B14 * IFERROR(VLOOKUP("buildings|NOx|Minor restricted activity days", US_national_yearly!$D:$AM, 13, FALSE) / VLOOKUP("buildings|NOx|Minor restricted activity days", US_national_yearly!$D:$AM, 10, FALSE), 1)</f>
        <v>0.31007253767151383</v>
      </c>
      <c r="F14" s="7">
        <f>$B14 * IFERROR(VLOOKUP("buildings|NOx|Minor restricted activity days", US_national_yearly!$D:$AM, 14, FALSE) / VLOOKUP("buildings|NOx|Minor restricted activity days", US_national_yearly!$D:$AM, 10, FALSE), 1)</f>
        <v>0.31055146736316991</v>
      </c>
      <c r="G14" s="7">
        <f>$B14 * IFERROR(VLOOKUP("buildings|NOx|Minor restricted activity days", US_national_yearly!$D:$AM, 15, FALSE) / VLOOKUP("buildings|NOx|Minor restricted activity days", US_national_yearly!$D:$AM, 10, FALSE), 1)</f>
        <v>0.31141186538532528</v>
      </c>
      <c r="H14" s="7">
        <f>$B14 * IFERROR(VLOOKUP("buildings|NOx|Minor restricted activity days", US_national_yearly!$D:$AM, 16, FALSE) / VLOOKUP("buildings|NOx|Minor restricted activity days", US_national_yearly!$D:$AM, 10, FALSE), 1)</f>
        <v>0.3122722634074806</v>
      </c>
      <c r="I14" s="7">
        <f>$B14 * IFERROR(VLOOKUP("buildings|NOx|Minor restricted activity days", US_national_yearly!$D:$AM, 17, FALSE) / VLOOKUP("buildings|NOx|Minor restricted activity days", US_national_yearly!$D:$AM, 10, FALSE), 1)</f>
        <v>0.3139497940778887</v>
      </c>
      <c r="J14" s="7">
        <f>$B14 * IFERROR(VLOOKUP("buildings|NOx|Minor restricted activity days", US_national_yearly!$D:$AM, 18, FALSE) / VLOOKUP("buildings|NOx|Minor restricted activity days", US_national_yearly!$D:$AM, 10, FALSE), 1)</f>
        <v>0.3156273247482968</v>
      </c>
      <c r="K14" s="7">
        <f>$B14 * IFERROR(VLOOKUP("buildings|NOx|Minor restricted activity days", US_national_yearly!$D:$AM, 19, FALSE) / VLOOKUP("buildings|NOx|Minor restricted activity days", US_national_yearly!$D:$AM, 10, FALSE), 1)</f>
        <v>0.3173048554187049</v>
      </c>
      <c r="L14" s="7">
        <f>$B14 * IFERROR(VLOOKUP("buildings|NOx|Minor restricted activity days", US_national_yearly!$D:$AM, 20, FALSE) / VLOOKUP("buildings|NOx|Minor restricted activity days", US_national_yearly!$D:$AM, 10, FALSE), 1)</f>
        <v>0.318982386089113</v>
      </c>
      <c r="M14" s="7">
        <f>$B14 * IFERROR(VLOOKUP("buildings|NOx|Minor restricted activity days", US_national_yearly!$D:$AM, 21, FALSE) / VLOOKUP("buildings|NOx|Minor restricted activity days", US_national_yearly!$D:$AM, 10, FALSE), 1)</f>
        <v>0.3206599167595211</v>
      </c>
      <c r="N14" s="7">
        <f>$B14 * IFERROR(VLOOKUP("buildings|NOx|Minor restricted activity days", US_national_yearly!$D:$AM, 22, FALSE) / VLOOKUP("buildings|NOx|Minor restricted activity days", US_national_yearly!$D:$AM, 10, FALSE), 1)</f>
        <v>0.32305980603503925</v>
      </c>
      <c r="O14" s="7">
        <f>$B14 * IFERROR(VLOOKUP("buildings|NOx|Minor restricted activity days", US_national_yearly!$D:$AM, 23, FALSE) / VLOOKUP("buildings|NOx|Minor restricted activity days", US_national_yearly!$D:$AM, 10, FALSE), 1)</f>
        <v>0.32545969531055735</v>
      </c>
      <c r="P14" s="7">
        <f>$B14 * IFERROR(VLOOKUP("buildings|NOx|Minor restricted activity days", US_national_yearly!$D:$AM, 24, FALSE) / VLOOKUP("buildings|NOx|Minor restricted activity days", US_national_yearly!$D:$AM, 10, FALSE), 1)</f>
        <v>0.32785958458607545</v>
      </c>
      <c r="Q14" s="7">
        <f>$B14 * IFERROR(VLOOKUP("buildings|NOx|Minor restricted activity days", US_national_yearly!$D:$AM, 25, FALSE) / VLOOKUP("buildings|NOx|Minor restricted activity days", US_national_yearly!$D:$AM, 10, FALSE), 1)</f>
        <v>0.33025947386159354</v>
      </c>
      <c r="R14" s="7">
        <f>$B14 * IFERROR(VLOOKUP("buildings|NOx|Minor restricted activity days", US_national_yearly!$D:$AM, 26, FALSE) / VLOOKUP("buildings|NOx|Minor restricted activity days", US_national_yearly!$D:$AM, 10, FALSE), 1)</f>
        <v>0.33265936313711159</v>
      </c>
      <c r="S14" s="7">
        <f>$B14 * IFERROR(VLOOKUP("buildings|NOx|Minor restricted activity days", US_national_yearly!$D:$AM, 27, FALSE) / VLOOKUP("buildings|NOx|Minor restricted activity days", US_national_yearly!$D:$AM, 10, FALSE), 1)</f>
        <v>0.33505856154966746</v>
      </c>
      <c r="T14" s="7">
        <f>$B14 * IFERROR(VLOOKUP("buildings|NOx|Minor restricted activity days", US_national_yearly!$D:$AM, 28, FALSE) / VLOOKUP("buildings|NOx|Minor restricted activity days", US_national_yearly!$D:$AM, 10, FALSE), 1)</f>
        <v>0.33745775996222332</v>
      </c>
      <c r="U14" s="7">
        <f>$B14 * IFERROR(VLOOKUP("buildings|NOx|Minor restricted activity days", US_national_yearly!$D:$AM, 29, FALSE) / VLOOKUP("buildings|NOx|Minor restricted activity days", US_national_yearly!$D:$AM, 10, FALSE), 1)</f>
        <v>0.33985695837477925</v>
      </c>
      <c r="V14" s="7">
        <f>$B14 * IFERROR(VLOOKUP("buildings|NOx|Minor restricted activity days", US_national_yearly!$D:$AM, 30, FALSE) / VLOOKUP("buildings|NOx|Minor restricted activity days", US_national_yearly!$D:$AM, 10, FALSE), 1)</f>
        <v>0.34225615678733512</v>
      </c>
      <c r="W14" s="7">
        <f>$B14 * IFERROR(VLOOKUP("buildings|NOx|Minor restricted activity days", US_national_yearly!$D:$AM, 31, FALSE) / VLOOKUP("buildings|NOx|Minor restricted activity days", US_national_yearly!$D:$AM, 10, FALSE), 1)</f>
        <v>0.34465535519989099</v>
      </c>
      <c r="X14" s="7">
        <f>$B14 * IFERROR(VLOOKUP("buildings|NOx|Minor restricted activity days", US_national_yearly!$D:$AM, 32, FALSE) / VLOOKUP("buildings|NOx|Minor restricted activity days", US_national_yearly!$D:$AM, 10, FALSE), 1)</f>
        <v>0.34668445584898516</v>
      </c>
      <c r="Y14" s="7">
        <f>$B14 * IFERROR(VLOOKUP("buildings|NOx|Minor restricted activity days", US_national_yearly!$D:$AM, 33, FALSE) / VLOOKUP("buildings|NOx|Minor restricted activity days", US_national_yearly!$D:$AM, 10, FALSE), 1)</f>
        <v>0.34871355649807939</v>
      </c>
      <c r="Z14" s="7">
        <f>$B14 * IFERROR(VLOOKUP("buildings|NOx|Minor restricted activity days", US_national_yearly!$D:$AM, 34, FALSE) / VLOOKUP("buildings|NOx|Minor restricted activity days", US_national_yearly!$D:$AM, 10, FALSE), 1)</f>
        <v>0.35074265714717351</v>
      </c>
      <c r="AA14" s="7">
        <f>$B14 * IFERROR(VLOOKUP("buildings|NOx|Minor restricted activity days", US_national_yearly!$D:$AM, 35, FALSE) / VLOOKUP("buildings|NOx|Minor restricted activity days", US_national_yearly!$D:$AM, 10, FALSE), 1)</f>
        <v>0.35277175779626774</v>
      </c>
      <c r="AB14" s="7">
        <f>$B14 * IFERROR(VLOOKUP("buildings|NOx|Minor restricted activity days", US_national_yearly!$D:$AM, 36, FALSE) / VLOOKUP("buildings|NOx|Minor restricted activity days", US_national_yearly!$D:$AM, 10, FALSE), 1)</f>
        <v>0.35480085844536191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5.2536320936979311E-2</v>
      </c>
      <c r="C15" s="7">
        <f>$B15 * IFERROR(VLOOKUP("buildings|NOx|Work loss days", US_national_yearly!$D:$AM, 11, FALSE) / VLOOKUP("buildings|NOx|Work loss days", US_national_yearly!$D:$AM, 10, FALSE), 1)</f>
        <v>5.2654093449622269E-2</v>
      </c>
      <c r="D15" s="7">
        <f>$B15 * IFERROR(VLOOKUP("buildings|NOx|Work loss days", US_national_yearly!$D:$AM, 12, FALSE) / VLOOKUP("buildings|NOx|Work loss days", US_national_yearly!$D:$AM, 10, FALSE), 1)</f>
        <v>5.277186596226522E-2</v>
      </c>
      <c r="E15" s="7">
        <f>$B15 * IFERROR(VLOOKUP("buildings|NOx|Work loss days", US_national_yearly!$D:$AM, 13, FALSE) / VLOOKUP("buildings|NOx|Work loss days", US_national_yearly!$D:$AM, 10, FALSE), 1)</f>
        <v>5.2889638474908164E-2</v>
      </c>
      <c r="F15" s="7">
        <f>$B15 * IFERROR(VLOOKUP("buildings|NOx|Work loss days", US_national_yearly!$D:$AM, 14, FALSE) / VLOOKUP("buildings|NOx|Work loss days", US_national_yearly!$D:$AM, 10, FALSE), 1)</f>
        <v>5.3007410987551122E-2</v>
      </c>
      <c r="G15" s="7">
        <f>$B15 * IFERROR(VLOOKUP("buildings|NOx|Work loss days", US_national_yearly!$D:$AM, 15, FALSE) / VLOOKUP("buildings|NOx|Work loss days", US_national_yearly!$D:$AM, 10, FALSE), 1)</f>
        <v>5.3178959856291196E-2</v>
      </c>
      <c r="H15" s="7">
        <f>$B15 * IFERROR(VLOOKUP("buildings|NOx|Work loss days", US_national_yearly!$D:$AM, 16, FALSE) / VLOOKUP("buildings|NOx|Work loss days", US_national_yearly!$D:$AM, 10, FALSE), 1)</f>
        <v>5.3350508725031269E-2</v>
      </c>
      <c r="I15" s="7">
        <f>$B15 * IFERROR(VLOOKUP("buildings|NOx|Work loss days", US_national_yearly!$D:$AM, 17, FALSE) / VLOOKUP("buildings|NOx|Work loss days", US_national_yearly!$D:$AM, 10, FALSE), 1)</f>
        <v>5.3627954953699639E-2</v>
      </c>
      <c r="J15" s="7">
        <f>$B15 * IFERROR(VLOOKUP("buildings|NOx|Work loss days", US_national_yearly!$D:$AM, 18, FALSE) / VLOOKUP("buildings|NOx|Work loss days", US_national_yearly!$D:$AM, 10, FALSE), 1)</f>
        <v>5.3905401182367994E-2</v>
      </c>
      <c r="K15" s="7">
        <f>$B15 * IFERROR(VLOOKUP("buildings|NOx|Work loss days", US_national_yearly!$D:$AM, 19, FALSE) / VLOOKUP("buildings|NOx|Work loss days", US_national_yearly!$D:$AM, 10, FALSE), 1)</f>
        <v>5.4182847411036364E-2</v>
      </c>
      <c r="L15" s="7">
        <f>$B15 * IFERROR(VLOOKUP("buildings|NOx|Work loss days", US_national_yearly!$D:$AM, 20, FALSE) / VLOOKUP("buildings|NOx|Work loss days", US_national_yearly!$D:$AM, 10, FALSE), 1)</f>
        <v>5.4460293639704734E-2</v>
      </c>
      <c r="M15" s="7">
        <f>$B15 * IFERROR(VLOOKUP("buildings|NOx|Work loss days", US_national_yearly!$D:$AM, 21, FALSE) / VLOOKUP("buildings|NOx|Work loss days", US_national_yearly!$D:$AM, 10, FALSE), 1)</f>
        <v>5.4737739868373089E-2</v>
      </c>
      <c r="N15" s="7">
        <f>$B15 * IFERROR(VLOOKUP("buildings|NOx|Work loss days", US_national_yearly!$D:$AM, 22, FALSE) / VLOOKUP("buildings|NOx|Work loss days", US_national_yearly!$D:$AM, 10, FALSE), 1)</f>
        <v>5.5098697869513699E-2</v>
      </c>
      <c r="O15" s="7">
        <f>$B15 * IFERROR(VLOOKUP("buildings|NOx|Work loss days", US_national_yearly!$D:$AM, 23, FALSE) / VLOOKUP("buildings|NOx|Work loss days", US_national_yearly!$D:$AM, 10, FALSE), 1)</f>
        <v>5.5459655870654316E-2</v>
      </c>
      <c r="P15" s="7">
        <f>$B15 * IFERROR(VLOOKUP("buildings|NOx|Work loss days", US_national_yearly!$D:$AM, 24, FALSE) / VLOOKUP("buildings|NOx|Work loss days", US_national_yearly!$D:$AM, 10, FALSE), 1)</f>
        <v>5.5820613871794926E-2</v>
      </c>
      <c r="Q15" s="7">
        <f>$B15 * IFERROR(VLOOKUP("buildings|NOx|Work loss days", US_national_yearly!$D:$AM, 25, FALSE) / VLOOKUP("buildings|NOx|Work loss days", US_national_yearly!$D:$AM, 10, FALSE), 1)</f>
        <v>5.618157187293555E-2</v>
      </c>
      <c r="R15" s="7">
        <f>$B15 * IFERROR(VLOOKUP("buildings|NOx|Work loss days", US_national_yearly!$D:$AM, 26, FALSE) / VLOOKUP("buildings|NOx|Work loss days", US_national_yearly!$D:$AM, 10, FALSE), 1)</f>
        <v>5.6542529874076167E-2</v>
      </c>
      <c r="S15" s="7">
        <f>$B15 * IFERROR(VLOOKUP("buildings|NOx|Work loss days", US_national_yearly!$D:$AM, 27, FALSE) / VLOOKUP("buildings|NOx|Work loss days", US_national_yearly!$D:$AM, 10, FALSE), 1)</f>
        <v>5.6944754308936071E-2</v>
      </c>
      <c r="T15" s="7">
        <f>$B15 * IFERROR(VLOOKUP("buildings|NOx|Work loss days", US_national_yearly!$D:$AM, 28, FALSE) / VLOOKUP("buildings|NOx|Work loss days", US_national_yearly!$D:$AM, 10, FALSE), 1)</f>
        <v>5.7346978743795997E-2</v>
      </c>
      <c r="U15" s="7">
        <f>$B15 * IFERROR(VLOOKUP("buildings|NOx|Work loss days", US_national_yearly!$D:$AM, 29, FALSE) / VLOOKUP("buildings|NOx|Work loss days", US_national_yearly!$D:$AM, 10, FALSE), 1)</f>
        <v>5.7749203178655902E-2</v>
      </c>
      <c r="V15" s="7">
        <f>$B15 * IFERROR(VLOOKUP("buildings|NOx|Work loss days", US_national_yearly!$D:$AM, 30, FALSE) / VLOOKUP("buildings|NOx|Work loss days", US_national_yearly!$D:$AM, 10, FALSE), 1)</f>
        <v>5.8151427613515813E-2</v>
      </c>
      <c r="W15" s="7">
        <f>$B15 * IFERROR(VLOOKUP("buildings|NOx|Work loss days", US_national_yearly!$D:$AM, 31, FALSE) / VLOOKUP("buildings|NOx|Work loss days", US_national_yearly!$D:$AM, 10, FALSE), 1)</f>
        <v>5.8553652048375725E-2</v>
      </c>
      <c r="X15" s="7">
        <f>$B15 * IFERROR(VLOOKUP("buildings|NOx|Work loss days", US_national_yearly!$D:$AM, 32, FALSE) / VLOOKUP("buildings|NOx|Work loss days", US_national_yearly!$D:$AM, 10, FALSE), 1)</f>
        <v>5.8902866897492523E-2</v>
      </c>
      <c r="Y15" s="7">
        <f>$B15 * IFERROR(VLOOKUP("buildings|NOx|Work loss days", US_national_yearly!$D:$AM, 33, FALSE) / VLOOKUP("buildings|NOx|Work loss days", US_national_yearly!$D:$AM, 10, FALSE), 1)</f>
        <v>5.9252081746609321E-2</v>
      </c>
      <c r="Z15" s="7">
        <f>$B15 * IFERROR(VLOOKUP("buildings|NOx|Work loss days", US_national_yearly!$D:$AM, 34, FALSE) / VLOOKUP("buildings|NOx|Work loss days", US_national_yearly!$D:$AM, 10, FALSE), 1)</f>
        <v>5.9601296595726119E-2</v>
      </c>
      <c r="AA15" s="7">
        <f>$B15 * IFERROR(VLOOKUP("buildings|NOx|Work loss days", US_national_yearly!$D:$AM, 35, FALSE) / VLOOKUP("buildings|NOx|Work loss days", US_national_yearly!$D:$AM, 10, FALSE), 1)</f>
        <v>5.9950511444842917E-2</v>
      </c>
      <c r="AB15" s="7">
        <f>$B15 * IFERROR(VLOOKUP("buildings|NOx|Work loss days", US_national_yearly!$D:$AM, 36, FALSE) / VLOOKUP("buildings|NOx|Work loss days", US_national_yearly!$D:$AM, 10, FALSE), 1)</f>
        <v>6.0299726293959716E-2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7.8402545841025481E-5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8.0707587655539612E-5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8.3012629470053756E-5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8.5317671284567887E-5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8.7622713099082004E-5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8.9812460899693072E-5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9.2002208700304127E-5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9.384466528032568E-5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9.5687121860347219E-5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9.7529578440368759E-5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9.9372035020390298E-5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1.0121449160041181E-4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1.0236701112815064E-4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1.0351953065588942E-4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1.0467205018362824E-4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1.0582456971136705E-4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1.0697708923910584E-4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1.0750370820391748E-4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1.080303271687291E-4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1.0855694613354074E-4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1.0908356509835236E-4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1.09610184063164E-4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1.0990371615696704E-4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1.1019724825077009E-4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1.1049078034457315E-4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1.107843124383762E-4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1.1107784453217924E-4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4.1877550868372863E-4</v>
      </c>
      <c r="C2" s="7">
        <f>$B2 * IFERROR(VLOOKUP("buildings|SO2|Premature mortality", US_national_yearly!$D:$AM, 11, FALSE) / VLOOKUP("buildings|SO2|Premature mortality", US_national_yearly!$D:$AM, 10, FALSE), 1)</f>
        <v>4.2408072929396145E-4</v>
      </c>
      <c r="D2" s="7">
        <f>$B2 * IFERROR(VLOOKUP("buildings|SO2|Premature mortality", US_national_yearly!$D:$AM, 12, FALSE) / VLOOKUP("buildings|SO2|Premature mortality", US_national_yearly!$D:$AM, 10, FALSE), 1)</f>
        <v>4.293859499041941E-4</v>
      </c>
      <c r="E2" s="7">
        <f>$B2 * IFERROR(VLOOKUP("buildings|SO2|Premature mortality", US_national_yearly!$D:$AM, 13, FALSE) / VLOOKUP("buildings|SO2|Premature mortality", US_national_yearly!$D:$AM, 10, FALSE), 1)</f>
        <v>4.3469117051442692E-4</v>
      </c>
      <c r="F2" s="7">
        <f>$B2 * IFERROR(VLOOKUP("buildings|SO2|Premature mortality", US_national_yearly!$D:$AM, 14, FALSE) / VLOOKUP("buildings|SO2|Premature mortality", US_national_yearly!$D:$AM, 10, FALSE), 1)</f>
        <v>4.3999639112465974E-4</v>
      </c>
      <c r="G2" s="7">
        <f>$B2 * IFERROR(VLOOKUP("buildings|SO2|Premature mortality", US_national_yearly!$D:$AM, 15, FALSE) / VLOOKUP("buildings|SO2|Premature mortality", US_national_yearly!$D:$AM, 10, FALSE), 1)</f>
        <v>4.5021847477337546E-4</v>
      </c>
      <c r="H2" s="7">
        <f>$B2 * IFERROR(VLOOKUP("buildings|SO2|Premature mortality", US_national_yearly!$D:$AM, 16, FALSE) / VLOOKUP("buildings|SO2|Premature mortality", US_national_yearly!$D:$AM, 10, FALSE), 1)</f>
        <v>4.6044055842209129E-4</v>
      </c>
      <c r="I2" s="7">
        <f>$B2 * IFERROR(VLOOKUP("buildings|SO2|Premature mortality", US_national_yearly!$D:$AM, 17, FALSE) / VLOOKUP("buildings|SO2|Premature mortality", US_national_yearly!$D:$AM, 10, FALSE), 1)</f>
        <v>4.6719934141668112E-4</v>
      </c>
      <c r="J2" s="7">
        <f>$B2 * IFERROR(VLOOKUP("buildings|SO2|Premature mortality", US_national_yearly!$D:$AM, 18, FALSE) / VLOOKUP("buildings|SO2|Premature mortality", US_national_yearly!$D:$AM, 10, FALSE), 1)</f>
        <v>4.7395812441127085E-4</v>
      </c>
      <c r="K2" s="7">
        <f>$B2 * IFERROR(VLOOKUP("buildings|SO2|Premature mortality", US_national_yearly!$D:$AM, 19, FALSE) / VLOOKUP("buildings|SO2|Premature mortality", US_national_yearly!$D:$AM, 10, FALSE), 1)</f>
        <v>4.8071690740586069E-4</v>
      </c>
      <c r="L2" s="7">
        <f>$B2 * IFERROR(VLOOKUP("buildings|SO2|Premature mortality", US_national_yearly!$D:$AM, 20, FALSE) / VLOOKUP("buildings|SO2|Premature mortality", US_national_yearly!$D:$AM, 10, FALSE), 1)</f>
        <v>4.8747569040045042E-4</v>
      </c>
      <c r="M2" s="7">
        <f>$B2 * IFERROR(VLOOKUP("buildings|SO2|Premature mortality", US_national_yearly!$D:$AM, 21, FALSE) / VLOOKUP("buildings|SO2|Premature mortality", US_national_yearly!$D:$AM, 10, FALSE), 1)</f>
        <v>4.9423447339504026E-4</v>
      </c>
      <c r="N2" s="7">
        <f>$B2 * IFERROR(VLOOKUP("buildings|SO2|Premature mortality", US_national_yearly!$D:$AM, 22, FALSE) / VLOOKUP("buildings|SO2|Premature mortality", US_national_yearly!$D:$AM, 10, FALSE), 1)</f>
        <v>4.9951419726327337E-4</v>
      </c>
      <c r="O2" s="7">
        <f>$B2 * IFERROR(VLOOKUP("buildings|SO2|Premature mortality", US_national_yearly!$D:$AM, 23, FALSE) / VLOOKUP("buildings|SO2|Premature mortality", US_national_yearly!$D:$AM, 10, FALSE), 1)</f>
        <v>5.0479392113150627E-4</v>
      </c>
      <c r="P2" s="7">
        <f>$B2 * IFERROR(VLOOKUP("buildings|SO2|Premature mortality", US_national_yearly!$D:$AM, 24, FALSE) / VLOOKUP("buildings|SO2|Premature mortality", US_national_yearly!$D:$AM, 10, FALSE), 1)</f>
        <v>5.1007364499973927E-4</v>
      </c>
      <c r="Q2" s="7">
        <f>$B2 * IFERROR(VLOOKUP("buildings|SO2|Premature mortality", US_national_yearly!$D:$AM, 25, FALSE) / VLOOKUP("buildings|SO2|Premature mortality", US_national_yearly!$D:$AM, 10, FALSE), 1)</f>
        <v>5.1535336886797216E-4</v>
      </c>
      <c r="R2" s="7">
        <f>$B2 * IFERROR(VLOOKUP("buildings|SO2|Premature mortality", US_national_yearly!$D:$AM, 26, FALSE) / VLOOKUP("buildings|SO2|Premature mortality", US_national_yearly!$D:$AM, 10, FALSE), 1)</f>
        <v>5.2063309273620516E-4</v>
      </c>
      <c r="S2" s="7">
        <f>$B2 * IFERROR(VLOOKUP("buildings|SO2|Premature mortality", US_national_yearly!$D:$AM, 27, FALSE) / VLOOKUP("buildings|SO2|Premature mortality", US_national_yearly!$D:$AM, 10, FALSE), 1)</f>
        <v>5.2345886121716451E-4</v>
      </c>
      <c r="T2" s="7">
        <f>$B2 * IFERROR(VLOOKUP("buildings|SO2|Premature mortality", US_national_yearly!$D:$AM, 28, FALSE) / VLOOKUP("buildings|SO2|Premature mortality", US_national_yearly!$D:$AM, 10, FALSE), 1)</f>
        <v>5.2628462969812396E-4</v>
      </c>
      <c r="U2" s="7">
        <f>$B2 * IFERROR(VLOOKUP("buildings|SO2|Premature mortality", US_national_yearly!$D:$AM, 29, FALSE) / VLOOKUP("buildings|SO2|Premature mortality", US_national_yearly!$D:$AM, 10, FALSE), 1)</f>
        <v>5.291103981790833E-4</v>
      </c>
      <c r="V2" s="7">
        <f>$B2 * IFERROR(VLOOKUP("buildings|SO2|Premature mortality", US_national_yearly!$D:$AM, 30, FALSE) / VLOOKUP("buildings|SO2|Premature mortality", US_national_yearly!$D:$AM, 10, FALSE), 1)</f>
        <v>5.3193616666004275E-4</v>
      </c>
      <c r="W2" s="7">
        <f>$B2 * IFERROR(VLOOKUP("buildings|SO2|Premature mortality", US_national_yearly!$D:$AM, 31, FALSE) / VLOOKUP("buildings|SO2|Premature mortality", US_national_yearly!$D:$AM, 10, FALSE), 1)</f>
        <v>5.3476193514100209E-4</v>
      </c>
      <c r="X2" s="7">
        <f>$B2 * IFERROR(VLOOKUP("buildings|SO2|Premature mortality", US_national_yearly!$D:$AM, 32, FALSE) / VLOOKUP("buildings|SO2|Premature mortality", US_national_yearly!$D:$AM, 10, FALSE), 1)</f>
        <v>5.3533292392494677E-4</v>
      </c>
      <c r="Y2" s="7">
        <f>$B2 * IFERROR(VLOOKUP("buildings|SO2|Premature mortality", US_national_yearly!$D:$AM, 33, FALSE) / VLOOKUP("buildings|SO2|Premature mortality", US_national_yearly!$D:$AM, 10, FALSE), 1)</f>
        <v>5.3590391270889144E-4</v>
      </c>
      <c r="Z2" s="7">
        <f>$B2 * IFERROR(VLOOKUP("buildings|SO2|Premature mortality", US_national_yearly!$D:$AM, 34, FALSE) / VLOOKUP("buildings|SO2|Premature mortality", US_national_yearly!$D:$AM, 10, FALSE), 1)</f>
        <v>5.36474901492836E-4</v>
      </c>
      <c r="AA2" s="7">
        <f>$B2 * IFERROR(VLOOKUP("buildings|SO2|Premature mortality", US_national_yearly!$D:$AM, 35, FALSE) / VLOOKUP("buildings|SO2|Premature mortality", US_national_yearly!$D:$AM, 10, FALSE), 1)</f>
        <v>5.3704589027678067E-4</v>
      </c>
      <c r="AB2" s="7">
        <f>$B2 * IFERROR(VLOOKUP("buildings|SO2|Premature mortality", US_national_yearly!$D:$AM, 36, FALSE) / VLOOKUP("buildings|SO2|Premature mortality", US_national_yearly!$D:$AM, 10, FALSE), 1)</f>
        <v>5.3761687906072535E-4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8.9581752670595253E-7</v>
      </c>
      <c r="C3" s="7">
        <f>$B3 * IFERROR(VLOOKUP("buildings|SO2|Infant mortality", US_national_yearly!$D:$AM, 11, FALSE) / VLOOKUP("buildings|SO2|Infant mortality", US_national_yearly!$D:$AM, 10, FALSE), 1)</f>
        <v>8.8813910990441012E-7</v>
      </c>
      <c r="D3" s="7">
        <f>$B3 * IFERROR(VLOOKUP("buildings|SO2|Infant mortality", US_national_yearly!$D:$AM, 12, FALSE) / VLOOKUP("buildings|SO2|Infant mortality", US_national_yearly!$D:$AM, 10, FALSE), 1)</f>
        <v>8.8046069310286782E-7</v>
      </c>
      <c r="E3" s="7">
        <f>$B3 * IFERROR(VLOOKUP("buildings|SO2|Infant mortality", US_national_yearly!$D:$AM, 13, FALSE) / VLOOKUP("buildings|SO2|Infant mortality", US_national_yearly!$D:$AM, 10, FALSE), 1)</f>
        <v>8.7278227630132552E-7</v>
      </c>
      <c r="F3" s="7">
        <f>$B3 * IFERROR(VLOOKUP("buildings|SO2|Infant mortality", US_national_yearly!$D:$AM, 14, FALSE) / VLOOKUP("buildings|SO2|Infant mortality", US_national_yearly!$D:$AM, 10, FALSE), 1)</f>
        <v>8.6510385949978333E-7</v>
      </c>
      <c r="G3" s="7">
        <f>$B3 * IFERROR(VLOOKUP("buildings|SO2|Infant mortality", US_national_yearly!$D:$AM, 15, FALSE) / VLOOKUP("buildings|SO2|Infant mortality", US_national_yearly!$D:$AM, 10, FALSE), 1)</f>
        <v>5.7612489782925148E-7</v>
      </c>
      <c r="H3" s="7">
        <f>$B3 * IFERROR(VLOOKUP("buildings|SO2|Infant mortality", US_national_yearly!$D:$AM, 16, FALSE) / VLOOKUP("buildings|SO2|Infant mortality", US_national_yearly!$D:$AM, 10, FALSE), 1)</f>
        <v>2.8714593615871979E-7</v>
      </c>
      <c r="I3" s="7">
        <f>$B3 * IFERROR(VLOOKUP("buildings|SO2|Infant mortality", US_national_yearly!$D:$AM, 17, FALSE) / VLOOKUP("buildings|SO2|Infant mortality", US_national_yearly!$D:$AM, 10, FALSE), 1)</f>
        <v>2.8534435084574439E-7</v>
      </c>
      <c r="J3" s="7">
        <f>$B3 * IFERROR(VLOOKUP("buildings|SO2|Infant mortality", US_national_yearly!$D:$AM, 18, FALSE) / VLOOKUP("buildings|SO2|Infant mortality", US_national_yearly!$D:$AM, 10, FALSE), 1)</f>
        <v>2.8354276553276893E-7</v>
      </c>
      <c r="K3" s="7">
        <f>$B3 * IFERROR(VLOOKUP("buildings|SO2|Infant mortality", US_national_yearly!$D:$AM, 19, FALSE) / VLOOKUP("buildings|SO2|Infant mortality", US_national_yearly!$D:$AM, 10, FALSE), 1)</f>
        <v>2.8174118021979353E-7</v>
      </c>
      <c r="L3" s="7">
        <f>$B3 * IFERROR(VLOOKUP("buildings|SO2|Infant mortality", US_national_yearly!$D:$AM, 20, FALSE) / VLOOKUP("buildings|SO2|Infant mortality", US_national_yearly!$D:$AM, 10, FALSE), 1)</f>
        <v>2.7993959490681808E-7</v>
      </c>
      <c r="M3" s="7">
        <f>$B3 * IFERROR(VLOOKUP("buildings|SO2|Infant mortality", US_national_yearly!$D:$AM, 21, FALSE) / VLOOKUP("buildings|SO2|Infant mortality", US_national_yearly!$D:$AM, 10, FALSE), 1)</f>
        <v>2.7813800959384273E-7</v>
      </c>
      <c r="N3" s="7">
        <f>$B3 * IFERROR(VLOOKUP("buildings|SO2|Infant mortality", US_national_yearly!$D:$AM, 22, FALSE) / VLOOKUP("buildings|SO2|Infant mortality", US_national_yearly!$D:$AM, 10, FALSE), 1)</f>
        <v>2.7700860698866097E-7</v>
      </c>
      <c r="O3" s="7">
        <f>$B3 * IFERROR(VLOOKUP("buildings|SO2|Infant mortality", US_national_yearly!$D:$AM, 23, FALSE) / VLOOKUP("buildings|SO2|Infant mortality", US_national_yearly!$D:$AM, 10, FALSE), 1)</f>
        <v>2.7587920438347922E-7</v>
      </c>
      <c r="P3" s="7">
        <f>$B3 * IFERROR(VLOOKUP("buildings|SO2|Infant mortality", US_national_yearly!$D:$AM, 24, FALSE) / VLOOKUP("buildings|SO2|Infant mortality", US_national_yearly!$D:$AM, 10, FALSE), 1)</f>
        <v>2.7474980177829746E-7</v>
      </c>
      <c r="Q3" s="7">
        <f>$B3 * IFERROR(VLOOKUP("buildings|SO2|Infant mortality", US_national_yearly!$D:$AM, 25, FALSE) / VLOOKUP("buildings|SO2|Infant mortality", US_national_yearly!$D:$AM, 10, FALSE), 1)</f>
        <v>2.736203991731157E-7</v>
      </c>
      <c r="R3" s="7">
        <f>$B3 * IFERROR(VLOOKUP("buildings|SO2|Infant mortality", US_national_yearly!$D:$AM, 26, FALSE) / VLOOKUP("buildings|SO2|Infant mortality", US_national_yearly!$D:$AM, 10, FALSE), 1)</f>
        <v>2.7249099656793394E-7</v>
      </c>
      <c r="S3" s="7">
        <f>$B3 * IFERROR(VLOOKUP("buildings|SO2|Infant mortality", US_national_yearly!$D:$AM, 27, FALSE) / VLOOKUP("buildings|SO2|Infant mortality", US_national_yearly!$D:$AM, 10, FALSE), 1)</f>
        <v>2.7107282495146049E-7</v>
      </c>
      <c r="T3" s="7">
        <f>$B3 * IFERROR(VLOOKUP("buildings|SO2|Infant mortality", US_national_yearly!$D:$AM, 28, FALSE) / VLOOKUP("buildings|SO2|Infant mortality", US_national_yearly!$D:$AM, 10, FALSE), 1)</f>
        <v>2.69654653334987E-7</v>
      </c>
      <c r="U3" s="7">
        <f>$B3 * IFERROR(VLOOKUP("buildings|SO2|Infant mortality", US_national_yearly!$D:$AM, 29, FALSE) / VLOOKUP("buildings|SO2|Infant mortality", US_national_yearly!$D:$AM, 10, FALSE), 1)</f>
        <v>2.6823648171851356E-7</v>
      </c>
      <c r="V3" s="7">
        <f>$B3 * IFERROR(VLOOKUP("buildings|SO2|Infant mortality", US_national_yearly!$D:$AM, 30, FALSE) / VLOOKUP("buildings|SO2|Infant mortality", US_national_yearly!$D:$AM, 10, FALSE), 1)</f>
        <v>2.6681831010204011E-7</v>
      </c>
      <c r="W3" s="7">
        <f>$B3 * IFERROR(VLOOKUP("buildings|SO2|Infant mortality", US_national_yearly!$D:$AM, 31, FALSE) / VLOOKUP("buildings|SO2|Infant mortality", US_national_yearly!$D:$AM, 10, FALSE), 1)</f>
        <v>2.6540013848556667E-7</v>
      </c>
      <c r="X3" s="7">
        <f>$B3 * IFERROR(VLOOKUP("buildings|SO2|Infant mortality", US_national_yearly!$D:$AM, 32, FALSE) / VLOOKUP("buildings|SO2|Infant mortality", US_national_yearly!$D:$AM, 10, FALSE), 1)</f>
        <v>2.638512703688464E-7</v>
      </c>
      <c r="Y3" s="7">
        <f>$B3 * IFERROR(VLOOKUP("buildings|SO2|Infant mortality", US_national_yearly!$D:$AM, 33, FALSE) / VLOOKUP("buildings|SO2|Infant mortality", US_national_yearly!$D:$AM, 10, FALSE), 1)</f>
        <v>2.6230240225212618E-7</v>
      </c>
      <c r="Z3" s="7">
        <f>$B3 * IFERROR(VLOOKUP("buildings|SO2|Infant mortality", US_national_yearly!$D:$AM, 34, FALSE) / VLOOKUP("buildings|SO2|Infant mortality", US_national_yearly!$D:$AM, 10, FALSE), 1)</f>
        <v>2.6075353413540596E-7</v>
      </c>
      <c r="AA3" s="7">
        <f>$B3 * IFERROR(VLOOKUP("buildings|SO2|Infant mortality", US_national_yearly!$D:$AM, 35, FALSE) / VLOOKUP("buildings|SO2|Infant mortality", US_national_yearly!$D:$AM, 10, FALSE), 1)</f>
        <v>2.5920466601868568E-7</v>
      </c>
      <c r="AB3" s="7">
        <f>$B3 * IFERROR(VLOOKUP("buildings|SO2|Infant mortality", US_national_yearly!$D:$AM, 36, FALSE) / VLOOKUP("buildings|SO2|Infant mortality", US_national_yearly!$D:$AM, 10, FALSE), 1)</f>
        <v>2.5765579790196546E-7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9.6744743011170414E-4</v>
      </c>
      <c r="C6" s="7">
        <f>$B6 * IFERROR(VLOOKUP("buildings|SO2|Asthma symptoms cough", US_national_yearly!$D:$AM, 11, FALSE) / VLOOKUP("buildings|SO2|Asthma symptoms cough", US_national_yearly!$D:$AM, 10, FALSE), 1)</f>
        <v>9.6744743011170414E-4</v>
      </c>
      <c r="D6" s="7">
        <f>$B6 * IFERROR(VLOOKUP("buildings|SO2|Asthma symptoms cough", US_national_yearly!$D:$AM, 12, FALSE) / VLOOKUP("buildings|SO2|Asthma symptoms cough", US_national_yearly!$D:$AM, 10, FALSE), 1)</f>
        <v>9.6744743011170414E-4</v>
      </c>
      <c r="E6" s="7">
        <f>$B6 * IFERROR(VLOOKUP("buildings|SO2|Asthma symptoms cough", US_national_yearly!$D:$AM, 13, FALSE) / VLOOKUP("buildings|SO2|Asthma symptoms cough", US_national_yearly!$D:$AM, 10, FALSE), 1)</f>
        <v>9.6744743011170414E-4</v>
      </c>
      <c r="F6" s="7">
        <f>$B6 * IFERROR(VLOOKUP("buildings|SO2|Asthma symptoms cough", US_national_yearly!$D:$AM, 14, FALSE) / VLOOKUP("buildings|SO2|Asthma symptoms cough", US_national_yearly!$D:$AM, 10, FALSE), 1)</f>
        <v>9.6744743011170414E-4</v>
      </c>
      <c r="G6" s="7">
        <f>$B6 * IFERROR(VLOOKUP("buildings|SO2|Asthma symptoms cough", US_national_yearly!$D:$AM, 15, FALSE) / VLOOKUP("buildings|SO2|Asthma symptoms cough", US_national_yearly!$D:$AM, 10, FALSE), 1)</f>
        <v>9.6744743011170414E-4</v>
      </c>
      <c r="H6" s="7">
        <f>$B6 * IFERROR(VLOOKUP("buildings|SO2|Asthma symptoms cough", US_national_yearly!$D:$AM, 16, FALSE) / VLOOKUP("buildings|SO2|Asthma symptoms cough", US_national_yearly!$D:$AM, 10, FALSE), 1)</f>
        <v>9.6744743011170414E-4</v>
      </c>
      <c r="I6" s="7">
        <f>$B6 * IFERROR(VLOOKUP("buildings|SO2|Asthma symptoms cough", US_national_yearly!$D:$AM, 17, FALSE) / VLOOKUP("buildings|SO2|Asthma symptoms cough", US_national_yearly!$D:$AM, 10, FALSE), 1)</f>
        <v>9.6744743011170414E-4</v>
      </c>
      <c r="J6" s="7">
        <f>$B6 * IFERROR(VLOOKUP("buildings|SO2|Asthma symptoms cough", US_national_yearly!$D:$AM, 18, FALSE) / VLOOKUP("buildings|SO2|Asthma symptoms cough", US_national_yearly!$D:$AM, 10, FALSE), 1)</f>
        <v>9.6744743011170414E-4</v>
      </c>
      <c r="K6" s="7">
        <f>$B6 * IFERROR(VLOOKUP("buildings|SO2|Asthma symptoms cough", US_national_yearly!$D:$AM, 19, FALSE) / VLOOKUP("buildings|SO2|Asthma symptoms cough", US_national_yearly!$D:$AM, 10, FALSE), 1)</f>
        <v>9.6744743011170414E-4</v>
      </c>
      <c r="L6" s="7">
        <f>$B6 * IFERROR(VLOOKUP("buildings|SO2|Asthma symptoms cough", US_national_yearly!$D:$AM, 20, FALSE) / VLOOKUP("buildings|SO2|Asthma symptoms cough", US_national_yearly!$D:$AM, 10, FALSE), 1)</f>
        <v>9.6744743011170414E-4</v>
      </c>
      <c r="M6" s="7">
        <f>$B6 * IFERROR(VLOOKUP("buildings|SO2|Asthma symptoms cough", US_national_yearly!$D:$AM, 21, FALSE) / VLOOKUP("buildings|SO2|Asthma symptoms cough", US_national_yearly!$D:$AM, 10, FALSE), 1)</f>
        <v>9.6744743011170414E-4</v>
      </c>
      <c r="N6" s="7">
        <f>$B6 * IFERROR(VLOOKUP("buildings|SO2|Asthma symptoms cough", US_national_yearly!$D:$AM, 22, FALSE) / VLOOKUP("buildings|SO2|Asthma symptoms cough", US_national_yearly!$D:$AM, 10, FALSE), 1)</f>
        <v>9.6744743011170414E-4</v>
      </c>
      <c r="O6" s="7">
        <f>$B6 * IFERROR(VLOOKUP("buildings|SO2|Asthma symptoms cough", US_national_yearly!$D:$AM, 23, FALSE) / VLOOKUP("buildings|SO2|Asthma symptoms cough", US_national_yearly!$D:$AM, 10, FALSE), 1)</f>
        <v>9.6744743011170414E-4</v>
      </c>
      <c r="P6" s="7">
        <f>$B6 * IFERROR(VLOOKUP("buildings|SO2|Asthma symptoms cough", US_national_yearly!$D:$AM, 24, FALSE) / VLOOKUP("buildings|SO2|Asthma symptoms cough", US_national_yearly!$D:$AM, 10, FALSE), 1)</f>
        <v>9.6744743011170414E-4</v>
      </c>
      <c r="Q6" s="7">
        <f>$B6 * IFERROR(VLOOKUP("buildings|SO2|Asthma symptoms cough", US_national_yearly!$D:$AM, 25, FALSE) / VLOOKUP("buildings|SO2|Asthma symptoms cough", US_national_yearly!$D:$AM, 10, FALSE), 1)</f>
        <v>9.6744743011170414E-4</v>
      </c>
      <c r="R6" s="7">
        <f>$B6 * IFERROR(VLOOKUP("buildings|SO2|Asthma symptoms cough", US_national_yearly!$D:$AM, 26, FALSE) / VLOOKUP("buildings|SO2|Asthma symptoms cough", US_national_yearly!$D:$AM, 10, FALSE), 1)</f>
        <v>9.6744743011170414E-4</v>
      </c>
      <c r="S6" s="7">
        <f>$B6 * IFERROR(VLOOKUP("buildings|SO2|Asthma symptoms cough", US_national_yearly!$D:$AM, 27, FALSE) / VLOOKUP("buildings|SO2|Asthma symptoms cough", US_national_yearly!$D:$AM, 10, FALSE), 1)</f>
        <v>9.6744743011170414E-4</v>
      </c>
      <c r="T6" s="7">
        <f>$B6 * IFERROR(VLOOKUP("buildings|SO2|Asthma symptoms cough", US_national_yearly!$D:$AM, 28, FALSE) / VLOOKUP("buildings|SO2|Asthma symptoms cough", US_national_yearly!$D:$AM, 10, FALSE), 1)</f>
        <v>9.6744743011170414E-4</v>
      </c>
      <c r="U6" s="7">
        <f>$B6 * IFERROR(VLOOKUP("buildings|SO2|Asthma symptoms cough", US_national_yearly!$D:$AM, 29, FALSE) / VLOOKUP("buildings|SO2|Asthma symptoms cough", US_national_yearly!$D:$AM, 10, FALSE), 1)</f>
        <v>9.6744743011170414E-4</v>
      </c>
      <c r="V6" s="7">
        <f>$B6 * IFERROR(VLOOKUP("buildings|SO2|Asthma symptoms cough", US_national_yearly!$D:$AM, 30, FALSE) / VLOOKUP("buildings|SO2|Asthma symptoms cough", US_national_yearly!$D:$AM, 10, FALSE), 1)</f>
        <v>9.6744743011170414E-4</v>
      </c>
      <c r="W6" s="7">
        <f>$B6 * IFERROR(VLOOKUP("buildings|SO2|Asthma symptoms cough", US_national_yearly!$D:$AM, 31, FALSE) / VLOOKUP("buildings|SO2|Asthma symptoms cough", US_national_yearly!$D:$AM, 10, FALSE), 1)</f>
        <v>9.6744743011170414E-4</v>
      </c>
      <c r="X6" s="7">
        <f>$B6 * IFERROR(VLOOKUP("buildings|SO2|Asthma symptoms cough", US_national_yearly!$D:$AM, 32, FALSE) / VLOOKUP("buildings|SO2|Asthma symptoms cough", US_national_yearly!$D:$AM, 10, FALSE), 1)</f>
        <v>9.6744743011170414E-4</v>
      </c>
      <c r="Y6" s="7">
        <f>$B6 * IFERROR(VLOOKUP("buildings|SO2|Asthma symptoms cough", US_national_yearly!$D:$AM, 33, FALSE) / VLOOKUP("buildings|SO2|Asthma symptoms cough", US_national_yearly!$D:$AM, 10, FALSE), 1)</f>
        <v>9.6744743011170414E-4</v>
      </c>
      <c r="Z6" s="7">
        <f>$B6 * IFERROR(VLOOKUP("buildings|SO2|Asthma symptoms cough", US_national_yearly!$D:$AM, 34, FALSE) / VLOOKUP("buildings|SO2|Asthma symptoms cough", US_national_yearly!$D:$AM, 10, FALSE), 1)</f>
        <v>9.6744743011170414E-4</v>
      </c>
      <c r="AA6" s="7">
        <f>$B6 * IFERROR(VLOOKUP("buildings|SO2|Asthma symptoms cough", US_national_yearly!$D:$AM, 35, FALSE) / VLOOKUP("buildings|SO2|Asthma symptoms cough", US_national_yearly!$D:$AM, 10, FALSE), 1)</f>
        <v>9.6744743011170414E-4</v>
      </c>
      <c r="AB6" s="7">
        <f>$B6 * IFERROR(VLOOKUP("buildings|SO2|Asthma symptoms cough", US_national_yearly!$D:$AM, 36, FALSE) / VLOOKUP("buildings|SO2|Asthma symptoms cough", US_national_yearly!$D:$AM, 10, FALSE), 1)</f>
        <v>9.6744743011170414E-4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1.3028100526654037E-3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1.3028100526654037E-3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1.3028100526654037E-3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1.3028100526654037E-3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1.3028100526654037E-3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1.3028100526654037E-3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1.3028100526654037E-3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1.3028100526654037E-3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1.3028100526654037E-3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1.3028100526654037E-3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1.3028100526654037E-3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1.3028100526654037E-3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1.3028100526654037E-3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1.3028100526654037E-3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1.3028100526654037E-3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1.3028100526654037E-3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1.3028100526654037E-3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1.3028100526654037E-3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1.3028100526654037E-3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1.3028100526654037E-3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1.3028100526654037E-3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1.3028100526654037E-3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1.3028100526654037E-3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1.3028100526654037E-3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1.3028100526654037E-3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1.3028100526654037E-3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1.3028100526654037E-3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1.9904668776379001E-3</v>
      </c>
      <c r="C8" s="7">
        <f>$B8 * IFERROR(VLOOKUP("buildings|SO2|Asthma symptoms wheeze", US_national_yearly!$D:$AM, 11, FALSE) / VLOOKUP("buildings|SO2|Asthma symptoms wheeze", US_national_yearly!$D:$AM, 10, FALSE), 1)</f>
        <v>1.9904668776379001E-3</v>
      </c>
      <c r="D8" s="7">
        <f>$B8 * IFERROR(VLOOKUP("buildings|SO2|Asthma symptoms wheeze", US_national_yearly!$D:$AM, 12, FALSE) / VLOOKUP("buildings|SO2|Asthma symptoms wheeze", US_national_yearly!$D:$AM, 10, FALSE), 1)</f>
        <v>1.9904668776379001E-3</v>
      </c>
      <c r="E8" s="7">
        <f>$B8 * IFERROR(VLOOKUP("buildings|SO2|Asthma symptoms wheeze", US_national_yearly!$D:$AM, 13, FALSE) / VLOOKUP("buildings|SO2|Asthma symptoms wheeze", US_national_yearly!$D:$AM, 10, FALSE), 1)</f>
        <v>1.9904668776379001E-3</v>
      </c>
      <c r="F8" s="7">
        <f>$B8 * IFERROR(VLOOKUP("buildings|SO2|Asthma symptoms wheeze", US_national_yearly!$D:$AM, 14, FALSE) / VLOOKUP("buildings|SO2|Asthma symptoms wheeze", US_national_yearly!$D:$AM, 10, FALSE), 1)</f>
        <v>1.9904668776379001E-3</v>
      </c>
      <c r="G8" s="7">
        <f>$B8 * IFERROR(VLOOKUP("buildings|SO2|Asthma symptoms wheeze", US_national_yearly!$D:$AM, 15, FALSE) / VLOOKUP("buildings|SO2|Asthma symptoms wheeze", US_national_yearly!$D:$AM, 10, FALSE), 1)</f>
        <v>1.9904668776379001E-3</v>
      </c>
      <c r="H8" s="7">
        <f>$B8 * IFERROR(VLOOKUP("buildings|SO2|Asthma symptoms wheeze", US_national_yearly!$D:$AM, 16, FALSE) / VLOOKUP("buildings|SO2|Asthma symptoms wheeze", US_national_yearly!$D:$AM, 10, FALSE), 1)</f>
        <v>1.9904668776379001E-3</v>
      </c>
      <c r="I8" s="7">
        <f>$B8 * IFERROR(VLOOKUP("buildings|SO2|Asthma symptoms wheeze", US_national_yearly!$D:$AM, 17, FALSE) / VLOOKUP("buildings|SO2|Asthma symptoms wheeze", US_national_yearly!$D:$AM, 10, FALSE), 1)</f>
        <v>1.9904668776379001E-3</v>
      </c>
      <c r="J8" s="7">
        <f>$B8 * IFERROR(VLOOKUP("buildings|SO2|Asthma symptoms wheeze", US_national_yearly!$D:$AM, 18, FALSE) / VLOOKUP("buildings|SO2|Asthma symptoms wheeze", US_national_yearly!$D:$AM, 10, FALSE), 1)</f>
        <v>1.9904668776379001E-3</v>
      </c>
      <c r="K8" s="7">
        <f>$B8 * IFERROR(VLOOKUP("buildings|SO2|Asthma symptoms wheeze", US_national_yearly!$D:$AM, 19, FALSE) / VLOOKUP("buildings|SO2|Asthma symptoms wheeze", US_national_yearly!$D:$AM, 10, FALSE), 1)</f>
        <v>1.9904668776379001E-3</v>
      </c>
      <c r="L8" s="7">
        <f>$B8 * IFERROR(VLOOKUP("buildings|SO2|Asthma symptoms wheeze", US_national_yearly!$D:$AM, 20, FALSE) / VLOOKUP("buildings|SO2|Asthma symptoms wheeze", US_national_yearly!$D:$AM, 10, FALSE), 1)</f>
        <v>1.9904668776379001E-3</v>
      </c>
      <c r="M8" s="7">
        <f>$B8 * IFERROR(VLOOKUP("buildings|SO2|Asthma symptoms wheeze", US_national_yearly!$D:$AM, 21, FALSE) / VLOOKUP("buildings|SO2|Asthma symptoms wheeze", US_national_yearly!$D:$AM, 10, FALSE), 1)</f>
        <v>1.9904668776379001E-3</v>
      </c>
      <c r="N8" s="7">
        <f>$B8 * IFERROR(VLOOKUP("buildings|SO2|Asthma symptoms wheeze", US_national_yearly!$D:$AM, 22, FALSE) / VLOOKUP("buildings|SO2|Asthma symptoms wheeze", US_national_yearly!$D:$AM, 10, FALSE), 1)</f>
        <v>1.9904668776379001E-3</v>
      </c>
      <c r="O8" s="7">
        <f>$B8 * IFERROR(VLOOKUP("buildings|SO2|Asthma symptoms wheeze", US_national_yearly!$D:$AM, 23, FALSE) / VLOOKUP("buildings|SO2|Asthma symptoms wheeze", US_national_yearly!$D:$AM, 10, FALSE), 1)</f>
        <v>1.9904668776379001E-3</v>
      </c>
      <c r="P8" s="7">
        <f>$B8 * IFERROR(VLOOKUP("buildings|SO2|Asthma symptoms wheeze", US_national_yearly!$D:$AM, 24, FALSE) / VLOOKUP("buildings|SO2|Asthma symptoms wheeze", US_national_yearly!$D:$AM, 10, FALSE), 1)</f>
        <v>1.9904668776379001E-3</v>
      </c>
      <c r="Q8" s="7">
        <f>$B8 * IFERROR(VLOOKUP("buildings|SO2|Asthma symptoms wheeze", US_national_yearly!$D:$AM, 25, FALSE) / VLOOKUP("buildings|SO2|Asthma symptoms wheeze", US_national_yearly!$D:$AM, 10, FALSE), 1)</f>
        <v>1.9904668776379001E-3</v>
      </c>
      <c r="R8" s="7">
        <f>$B8 * IFERROR(VLOOKUP("buildings|SO2|Asthma symptoms wheeze", US_national_yearly!$D:$AM, 26, FALSE) / VLOOKUP("buildings|SO2|Asthma symptoms wheeze", US_national_yearly!$D:$AM, 10, FALSE), 1)</f>
        <v>1.9904668776379001E-3</v>
      </c>
      <c r="S8" s="7">
        <f>$B8 * IFERROR(VLOOKUP("buildings|SO2|Asthma symptoms wheeze", US_national_yearly!$D:$AM, 27, FALSE) / VLOOKUP("buildings|SO2|Asthma symptoms wheeze", US_national_yearly!$D:$AM, 10, FALSE), 1)</f>
        <v>1.9904668776379001E-3</v>
      </c>
      <c r="T8" s="7">
        <f>$B8 * IFERROR(VLOOKUP("buildings|SO2|Asthma symptoms wheeze", US_national_yearly!$D:$AM, 28, FALSE) / VLOOKUP("buildings|SO2|Asthma symptoms wheeze", US_national_yearly!$D:$AM, 10, FALSE), 1)</f>
        <v>1.9904668776379001E-3</v>
      </c>
      <c r="U8" s="7">
        <f>$B8 * IFERROR(VLOOKUP("buildings|SO2|Asthma symptoms wheeze", US_national_yearly!$D:$AM, 29, FALSE) / VLOOKUP("buildings|SO2|Asthma symptoms wheeze", US_national_yearly!$D:$AM, 10, FALSE), 1)</f>
        <v>1.9904668776379001E-3</v>
      </c>
      <c r="V8" s="7">
        <f>$B8 * IFERROR(VLOOKUP("buildings|SO2|Asthma symptoms wheeze", US_national_yearly!$D:$AM, 30, FALSE) / VLOOKUP("buildings|SO2|Asthma symptoms wheeze", US_national_yearly!$D:$AM, 10, FALSE), 1)</f>
        <v>1.9904668776379001E-3</v>
      </c>
      <c r="W8" s="7">
        <f>$B8 * IFERROR(VLOOKUP("buildings|SO2|Asthma symptoms wheeze", US_national_yearly!$D:$AM, 31, FALSE) / VLOOKUP("buildings|SO2|Asthma symptoms wheeze", US_national_yearly!$D:$AM, 10, FALSE), 1)</f>
        <v>1.9904668776379001E-3</v>
      </c>
      <c r="X8" s="7">
        <f>$B8 * IFERROR(VLOOKUP("buildings|SO2|Asthma symptoms wheeze", US_national_yearly!$D:$AM, 32, FALSE) / VLOOKUP("buildings|SO2|Asthma symptoms wheeze", US_national_yearly!$D:$AM, 10, FALSE), 1)</f>
        <v>1.9904668776379001E-3</v>
      </c>
      <c r="Y8" s="7">
        <f>$B8 * IFERROR(VLOOKUP("buildings|SO2|Asthma symptoms wheeze", US_national_yearly!$D:$AM, 33, FALSE) / VLOOKUP("buildings|SO2|Asthma symptoms wheeze", US_national_yearly!$D:$AM, 10, FALSE), 1)</f>
        <v>1.9904668776379001E-3</v>
      </c>
      <c r="Z8" s="7">
        <f>$B8 * IFERROR(VLOOKUP("buildings|SO2|Asthma symptoms wheeze", US_national_yearly!$D:$AM, 34, FALSE) / VLOOKUP("buildings|SO2|Asthma symptoms wheeze", US_national_yearly!$D:$AM, 10, FALSE), 1)</f>
        <v>1.9904668776379001E-3</v>
      </c>
      <c r="AA8" s="7">
        <f>$B8 * IFERROR(VLOOKUP("buildings|SO2|Asthma symptoms wheeze", US_national_yearly!$D:$AM, 35, FALSE) / VLOOKUP("buildings|SO2|Asthma symptoms wheeze", US_national_yearly!$D:$AM, 10, FALSE), 1)</f>
        <v>1.9904668776379001E-3</v>
      </c>
      <c r="AB8" s="7">
        <f>$B8 * IFERROR(VLOOKUP("buildings|SO2|Asthma symptoms wheeze", US_national_yearly!$D:$AM, 36, FALSE) / VLOOKUP("buildings|SO2|Asthma symptoms wheeze", US_national_yearly!$D:$AM, 10, FALSE), 1)</f>
        <v>1.9904668776379001E-3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3.0583293002681161E-5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3.0763929645177343E-5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3.0944566287673526E-5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3.1125202930169716E-5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3.1305839572665892E-5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3.150271075529873E-5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3.1699581937931575E-5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3.1893324900511959E-5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3.2087067863092342E-5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3.2280810825672726E-5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3.2474553788253103E-5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3.2668296750833494E-5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3.2809761185872583E-5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3.2951225620911667E-5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3.3092690055950756E-5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3.3234154490989839E-5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3.3375618926028929E-5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3.3510506925388835E-5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3.3645394924748747E-5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3.3780282924108653E-5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3.3915170923468558E-5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3.405005892282847E-5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3.4178237716352994E-5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3.4306416509877525E-5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3.4434595303402049E-5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3.4562774096926572E-5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3.4690952890451096E-5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1.5170600697124738E-4</v>
      </c>
      <c r="C13" s="7">
        <f>$B13 * IFERROR(VLOOKUP("buildings|SO2|Non-fatal heart attacks", US_national_yearly!$D:$AM, 11, FALSE) / VLOOKUP("buildings|SO2|Non-fatal heart attacks", US_national_yearly!$D:$AM, 10, FALSE), 1)</f>
        <v>1.5616098417071917E-4</v>
      </c>
      <c r="D13" s="7">
        <f>$B13 * IFERROR(VLOOKUP("buildings|SO2|Non-fatal heart attacks", US_national_yearly!$D:$AM, 12, FALSE) / VLOOKUP("buildings|SO2|Non-fatal heart attacks", US_national_yearly!$D:$AM, 10, FALSE), 1)</f>
        <v>1.6061596137019094E-4</v>
      </c>
      <c r="E13" s="7">
        <f>$B13 * IFERROR(VLOOKUP("buildings|SO2|Non-fatal heart attacks", US_national_yearly!$D:$AM, 13, FALSE) / VLOOKUP("buildings|SO2|Non-fatal heart attacks", US_national_yearly!$D:$AM, 10, FALSE), 1)</f>
        <v>1.6507093856966271E-4</v>
      </c>
      <c r="F13" s="7">
        <f>$B13 * IFERROR(VLOOKUP("buildings|SO2|Non-fatal heart attacks", US_national_yearly!$D:$AM, 14, FALSE) / VLOOKUP("buildings|SO2|Non-fatal heart attacks", US_national_yearly!$D:$AM, 10, FALSE), 1)</f>
        <v>1.695259157691345E-4</v>
      </c>
      <c r="G13" s="7">
        <f>$B13 * IFERROR(VLOOKUP("buildings|SO2|Non-fatal heart attacks", US_national_yearly!$D:$AM, 15, FALSE) / VLOOKUP("buildings|SO2|Non-fatal heart attacks", US_national_yearly!$D:$AM, 10, FALSE), 1)</f>
        <v>1.7372767776826053E-4</v>
      </c>
      <c r="H13" s="7">
        <f>$B13 * IFERROR(VLOOKUP("buildings|SO2|Non-fatal heart attacks", US_national_yearly!$D:$AM, 16, FALSE) / VLOOKUP("buildings|SO2|Non-fatal heart attacks", US_national_yearly!$D:$AM, 10, FALSE), 1)</f>
        <v>1.7792943976738655E-4</v>
      </c>
      <c r="I13" s="7">
        <f>$B13 * IFERROR(VLOOKUP("buildings|SO2|Non-fatal heart attacks", US_national_yearly!$D:$AM, 17, FALSE) / VLOOKUP("buildings|SO2|Non-fatal heart attacks", US_national_yearly!$D:$AM, 10, FALSE), 1)</f>
        <v>1.8131157966805856E-4</v>
      </c>
      <c r="J13" s="7">
        <f>$B13 * IFERROR(VLOOKUP("buildings|SO2|Non-fatal heart attacks", US_national_yearly!$D:$AM, 18, FALSE) / VLOOKUP("buildings|SO2|Non-fatal heart attacks", US_national_yearly!$D:$AM, 10, FALSE), 1)</f>
        <v>1.8469371956873057E-4</v>
      </c>
      <c r="K13" s="7">
        <f>$B13 * IFERROR(VLOOKUP("buildings|SO2|Non-fatal heart attacks", US_national_yearly!$D:$AM, 19, FALSE) / VLOOKUP("buildings|SO2|Non-fatal heart attacks", US_national_yearly!$D:$AM, 10, FALSE), 1)</f>
        <v>1.8807585946940261E-4</v>
      </c>
      <c r="L13" s="7">
        <f>$B13 * IFERROR(VLOOKUP("buildings|SO2|Non-fatal heart attacks", US_national_yearly!$D:$AM, 20, FALSE) / VLOOKUP("buildings|SO2|Non-fatal heart attacks", US_national_yearly!$D:$AM, 10, FALSE), 1)</f>
        <v>1.9145799937007464E-4</v>
      </c>
      <c r="M13" s="7">
        <f>$B13 * IFERROR(VLOOKUP("buildings|SO2|Non-fatal heart attacks", US_national_yearly!$D:$AM, 21, FALSE) / VLOOKUP("buildings|SO2|Non-fatal heart attacks", US_national_yearly!$D:$AM, 10, FALSE), 1)</f>
        <v>1.9484013927074668E-4</v>
      </c>
      <c r="N13" s="7">
        <f>$B13 * IFERROR(VLOOKUP("buildings|SO2|Non-fatal heart attacks", US_national_yearly!$D:$AM, 22, FALSE) / VLOOKUP("buildings|SO2|Non-fatal heart attacks", US_national_yearly!$D:$AM, 10, FALSE), 1)</f>
        <v>1.970353052878827E-4</v>
      </c>
      <c r="O13" s="7">
        <f>$B13 * IFERROR(VLOOKUP("buildings|SO2|Non-fatal heart attacks", US_national_yearly!$D:$AM, 23, FALSE) / VLOOKUP("buildings|SO2|Non-fatal heart attacks", US_national_yearly!$D:$AM, 10, FALSE), 1)</f>
        <v>1.9923047130501875E-4</v>
      </c>
      <c r="P13" s="7">
        <f>$B13 * IFERROR(VLOOKUP("buildings|SO2|Non-fatal heart attacks", US_national_yearly!$D:$AM, 24, FALSE) / VLOOKUP("buildings|SO2|Non-fatal heart attacks", US_national_yearly!$D:$AM, 10, FALSE), 1)</f>
        <v>2.0142563732215474E-4</v>
      </c>
      <c r="Q13" s="7">
        <f>$B13 * IFERROR(VLOOKUP("buildings|SO2|Non-fatal heart attacks", US_national_yearly!$D:$AM, 25, FALSE) / VLOOKUP("buildings|SO2|Non-fatal heart attacks", US_national_yearly!$D:$AM, 10, FALSE), 1)</f>
        <v>2.0362080333929077E-4</v>
      </c>
      <c r="R13" s="7">
        <f>$B13 * IFERROR(VLOOKUP("buildings|SO2|Non-fatal heart attacks", US_national_yearly!$D:$AM, 26, FALSE) / VLOOKUP("buildings|SO2|Non-fatal heart attacks", US_national_yearly!$D:$AM, 10, FALSE), 1)</f>
        <v>2.0581596935642681E-4</v>
      </c>
      <c r="S13" s="7">
        <f>$B13 * IFERROR(VLOOKUP("buildings|SO2|Non-fatal heart attacks", US_national_yearly!$D:$AM, 27, FALSE) / VLOOKUP("buildings|SO2|Non-fatal heart attacks", US_national_yearly!$D:$AM, 10, FALSE), 1)</f>
        <v>2.0696228145626133E-4</v>
      </c>
      <c r="T13" s="7">
        <f>$B13 * IFERROR(VLOOKUP("buildings|SO2|Non-fatal heart attacks", US_national_yearly!$D:$AM, 28, FALSE) / VLOOKUP("buildings|SO2|Non-fatal heart attacks", US_national_yearly!$D:$AM, 10, FALSE), 1)</f>
        <v>2.0810859355609586E-4</v>
      </c>
      <c r="U13" s="7">
        <f>$B13 * IFERROR(VLOOKUP("buildings|SO2|Non-fatal heart attacks", US_national_yearly!$D:$AM, 29, FALSE) / VLOOKUP("buildings|SO2|Non-fatal heart attacks", US_national_yearly!$D:$AM, 10, FALSE), 1)</f>
        <v>2.0925490565593029E-4</v>
      </c>
      <c r="V13" s="7">
        <f>$B13 * IFERROR(VLOOKUP("buildings|SO2|Non-fatal heart attacks", US_national_yearly!$D:$AM, 30, FALSE) / VLOOKUP("buildings|SO2|Non-fatal heart attacks", US_national_yearly!$D:$AM, 10, FALSE), 1)</f>
        <v>2.1040121775576482E-4</v>
      </c>
      <c r="W13" s="7">
        <f>$B13 * IFERROR(VLOOKUP("buildings|SO2|Non-fatal heart attacks", US_national_yearly!$D:$AM, 31, FALSE) / VLOOKUP("buildings|SO2|Non-fatal heart attacks", US_national_yearly!$D:$AM, 10, FALSE), 1)</f>
        <v>2.1154752985559928E-4</v>
      </c>
      <c r="X13" s="7">
        <f>$B13 * IFERROR(VLOOKUP("buildings|SO2|Non-fatal heart attacks", US_national_yearly!$D:$AM, 32, FALSE) / VLOOKUP("buildings|SO2|Non-fatal heart attacks", US_national_yearly!$D:$AM, 10, FALSE), 1)</f>
        <v>2.1241330893226248E-4</v>
      </c>
      <c r="Y13" s="7">
        <f>$B13 * IFERROR(VLOOKUP("buildings|SO2|Non-fatal heart attacks", US_national_yearly!$D:$AM, 33, FALSE) / VLOOKUP("buildings|SO2|Non-fatal heart attacks", US_national_yearly!$D:$AM, 10, FALSE), 1)</f>
        <v>2.1327908800892564E-4</v>
      </c>
      <c r="Z13" s="7">
        <f>$B13 * IFERROR(VLOOKUP("buildings|SO2|Non-fatal heart attacks", US_national_yearly!$D:$AM, 34, FALSE) / VLOOKUP("buildings|SO2|Non-fatal heart attacks", US_national_yearly!$D:$AM, 10, FALSE), 1)</f>
        <v>2.1414486708558876E-4</v>
      </c>
      <c r="AA13" s="7">
        <f>$B13 * IFERROR(VLOOKUP("buildings|SO2|Non-fatal heart attacks", US_national_yearly!$D:$AM, 35, FALSE) / VLOOKUP("buildings|SO2|Non-fatal heart attacks", US_national_yearly!$D:$AM, 10, FALSE), 1)</f>
        <v>2.1501064616225195E-4</v>
      </c>
      <c r="AB13" s="7">
        <f>$B13 * IFERROR(VLOOKUP("buildings|SO2|Non-fatal heart attacks", US_national_yearly!$D:$AM, 36, FALSE) / VLOOKUP("buildings|SO2|Non-fatal heart attacks", US_national_yearly!$D:$AM, 10, FALSE), 1)</f>
        <v>2.1587642523891509E-4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0.13251808188114853</v>
      </c>
      <c r="C14" s="7">
        <f>$B14 * IFERROR(VLOOKUP("buildings|SO2|Minor restricted activity days", US_national_yearly!$D:$AM, 11, FALSE) / VLOOKUP("buildings|SO2|Minor restricted activity days", US_national_yearly!$D:$AM, 10, FALSE), 1)</f>
        <v>0.13285354442460565</v>
      </c>
      <c r="D14" s="7">
        <f>$B14 * IFERROR(VLOOKUP("buildings|SO2|Minor restricted activity days", US_national_yearly!$D:$AM, 12, FALSE) / VLOOKUP("buildings|SO2|Minor restricted activity days", US_national_yearly!$D:$AM, 10, FALSE), 1)</f>
        <v>0.1331890069680628</v>
      </c>
      <c r="E14" s="7">
        <f>$B14 * IFERROR(VLOOKUP("buildings|SO2|Minor restricted activity days", US_national_yearly!$D:$AM, 13, FALSE) / VLOOKUP("buildings|SO2|Minor restricted activity days", US_national_yearly!$D:$AM, 10, FALSE), 1)</f>
        <v>0.13352446951151994</v>
      </c>
      <c r="F14" s="7">
        <f>$B14 * IFERROR(VLOOKUP("buildings|SO2|Minor restricted activity days", US_national_yearly!$D:$AM, 14, FALSE) / VLOOKUP("buildings|SO2|Minor restricted activity days", US_national_yearly!$D:$AM, 10, FALSE), 1)</f>
        <v>0.13385993205497704</v>
      </c>
      <c r="G14" s="7">
        <f>$B14 * IFERROR(VLOOKUP("buildings|SO2|Minor restricted activity days", US_national_yearly!$D:$AM, 15, FALSE) / VLOOKUP("buildings|SO2|Minor restricted activity days", US_national_yearly!$D:$AM, 10, FALSE), 1)</f>
        <v>0.13435319491212286</v>
      </c>
      <c r="H14" s="7">
        <f>$B14 * IFERROR(VLOOKUP("buildings|SO2|Minor restricted activity days", US_national_yearly!$D:$AM, 16, FALSE) / VLOOKUP("buildings|SO2|Minor restricted activity days", US_national_yearly!$D:$AM, 10, FALSE), 1)</f>
        <v>0.13484645776926868</v>
      </c>
      <c r="I14" s="7">
        <f>$B14 * IFERROR(VLOOKUP("buildings|SO2|Minor restricted activity days", US_national_yearly!$D:$AM, 17, FALSE) / VLOOKUP("buildings|SO2|Minor restricted activity days", US_national_yearly!$D:$AM, 10, FALSE), 1)</f>
        <v>0.13568653405477793</v>
      </c>
      <c r="J14" s="7">
        <f>$B14 * IFERROR(VLOOKUP("buildings|SO2|Minor restricted activity days", US_national_yearly!$D:$AM, 18, FALSE) / VLOOKUP("buildings|SO2|Minor restricted activity days", US_national_yearly!$D:$AM, 10, FALSE), 1)</f>
        <v>0.13652661034028724</v>
      </c>
      <c r="K14" s="7">
        <f>$B14 * IFERROR(VLOOKUP("buildings|SO2|Minor restricted activity days", US_national_yearly!$D:$AM, 19, FALSE) / VLOOKUP("buildings|SO2|Minor restricted activity days", US_national_yearly!$D:$AM, 10, FALSE), 1)</f>
        <v>0.13736668662579649</v>
      </c>
      <c r="L14" s="7">
        <f>$B14 * IFERROR(VLOOKUP("buildings|SO2|Minor restricted activity days", US_national_yearly!$D:$AM, 20, FALSE) / VLOOKUP("buildings|SO2|Minor restricted activity days", US_national_yearly!$D:$AM, 10, FALSE), 1)</f>
        <v>0.13820676291130574</v>
      </c>
      <c r="M14" s="7">
        <f>$B14 * IFERROR(VLOOKUP("buildings|SO2|Minor restricted activity days", US_national_yearly!$D:$AM, 21, FALSE) / VLOOKUP("buildings|SO2|Minor restricted activity days", US_national_yearly!$D:$AM, 10, FALSE), 1)</f>
        <v>0.13904683919681499</v>
      </c>
      <c r="N14" s="7">
        <f>$B14 * IFERROR(VLOOKUP("buildings|SO2|Minor restricted activity days", US_national_yearly!$D:$AM, 22, FALSE) / VLOOKUP("buildings|SO2|Minor restricted activity days", US_national_yearly!$D:$AM, 10, FALSE), 1)</f>
        <v>0.14019559937192227</v>
      </c>
      <c r="O14" s="7">
        <f>$B14 * IFERROR(VLOOKUP("buildings|SO2|Minor restricted activity days", US_national_yearly!$D:$AM, 23, FALSE) / VLOOKUP("buildings|SO2|Minor restricted activity days", US_national_yearly!$D:$AM, 10, FALSE), 1)</f>
        <v>0.14134435954702956</v>
      </c>
      <c r="P14" s="7">
        <f>$B14 * IFERROR(VLOOKUP("buildings|SO2|Minor restricted activity days", US_national_yearly!$D:$AM, 24, FALSE) / VLOOKUP("buildings|SO2|Minor restricted activity days", US_national_yearly!$D:$AM, 10, FALSE), 1)</f>
        <v>0.14249311972213682</v>
      </c>
      <c r="Q14" s="7">
        <f>$B14 * IFERROR(VLOOKUP("buildings|SO2|Minor restricted activity days", US_national_yearly!$D:$AM, 25, FALSE) / VLOOKUP("buildings|SO2|Minor restricted activity days", US_national_yearly!$D:$AM, 10, FALSE), 1)</f>
        <v>0.14364187989724414</v>
      </c>
      <c r="R14" s="7">
        <f>$B14 * IFERROR(VLOOKUP("buildings|SO2|Minor restricted activity days", US_national_yearly!$D:$AM, 26, FALSE) / VLOOKUP("buildings|SO2|Minor restricted activity days", US_national_yearly!$D:$AM, 10, FALSE), 1)</f>
        <v>0.14479064007235143</v>
      </c>
      <c r="S14" s="7">
        <f>$B14 * IFERROR(VLOOKUP("buildings|SO2|Minor restricted activity days", US_national_yearly!$D:$AM, 27, FALSE) / VLOOKUP("buildings|SO2|Minor restricted activity days", US_national_yearly!$D:$AM, 10, FALSE), 1)</f>
        <v>0.1459617264913699</v>
      </c>
      <c r="T14" s="7">
        <f>$B14 * IFERROR(VLOOKUP("buildings|SO2|Minor restricted activity days", US_national_yearly!$D:$AM, 28, FALSE) / VLOOKUP("buildings|SO2|Minor restricted activity days", US_national_yearly!$D:$AM, 10, FALSE), 1)</f>
        <v>0.14713281291038838</v>
      </c>
      <c r="U14" s="7">
        <f>$B14 * IFERROR(VLOOKUP("buildings|SO2|Minor restricted activity days", US_national_yearly!$D:$AM, 29, FALSE) / VLOOKUP("buildings|SO2|Minor restricted activity days", US_national_yearly!$D:$AM, 10, FALSE), 1)</f>
        <v>0.14830389932940682</v>
      </c>
      <c r="V14" s="7">
        <f>$B14 * IFERROR(VLOOKUP("buildings|SO2|Minor restricted activity days", US_national_yearly!$D:$AM, 30, FALSE) / VLOOKUP("buildings|SO2|Minor restricted activity days", US_national_yearly!$D:$AM, 10, FALSE), 1)</f>
        <v>0.1494749857484253</v>
      </c>
      <c r="W14" s="7">
        <f>$B14 * IFERROR(VLOOKUP("buildings|SO2|Minor restricted activity days", US_national_yearly!$D:$AM, 31, FALSE) / VLOOKUP("buildings|SO2|Minor restricted activity days", US_national_yearly!$D:$AM, 10, FALSE), 1)</f>
        <v>0.1506460721674438</v>
      </c>
      <c r="X14" s="7">
        <f>$B14 * IFERROR(VLOOKUP("buildings|SO2|Minor restricted activity days", US_national_yearly!$D:$AM, 32, FALSE) / VLOOKUP("buildings|SO2|Minor restricted activity days", US_national_yearly!$D:$AM, 10, FALSE), 1)</f>
        <v>0.15167597490105855</v>
      </c>
      <c r="Y14" s="7">
        <f>$B14 * IFERROR(VLOOKUP("buildings|SO2|Minor restricted activity days", US_national_yearly!$D:$AM, 33, FALSE) / VLOOKUP("buildings|SO2|Minor restricted activity days", US_national_yearly!$D:$AM, 10, FALSE), 1)</f>
        <v>0.1527058776346733</v>
      </c>
      <c r="Z14" s="7">
        <f>$B14 * IFERROR(VLOOKUP("buildings|SO2|Minor restricted activity days", US_national_yearly!$D:$AM, 34, FALSE) / VLOOKUP("buildings|SO2|Minor restricted activity days", US_national_yearly!$D:$AM, 10, FALSE), 1)</f>
        <v>0.15373578036828806</v>
      </c>
      <c r="AA14" s="7">
        <f>$B14 * IFERROR(VLOOKUP("buildings|SO2|Minor restricted activity days", US_national_yearly!$D:$AM, 35, FALSE) / VLOOKUP("buildings|SO2|Minor restricted activity days", US_national_yearly!$D:$AM, 10, FALSE), 1)</f>
        <v>0.15476568310190281</v>
      </c>
      <c r="AB14" s="7">
        <f>$B14 * IFERROR(VLOOKUP("buildings|SO2|Minor restricted activity days", US_national_yearly!$D:$AM, 36, FALSE) / VLOOKUP("buildings|SO2|Minor restricted activity days", US_national_yearly!$D:$AM, 10, FALSE), 1)</f>
        <v>0.15579558583551756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2.2531764230687847E-2</v>
      </c>
      <c r="C15" s="7">
        <f>$B15 * IFERROR(VLOOKUP("buildings|SO2|Work loss days", US_national_yearly!$D:$AM, 11, FALSE) / VLOOKUP("buildings|SO2|Work loss days", US_national_yearly!$D:$AM, 10, FALSE), 1)</f>
        <v>2.2604969565736259E-2</v>
      </c>
      <c r="D15" s="7">
        <f>$B15 * IFERROR(VLOOKUP("buildings|SO2|Work loss days", US_national_yearly!$D:$AM, 12, FALSE) / VLOOKUP("buildings|SO2|Work loss days", US_national_yearly!$D:$AM, 10, FALSE), 1)</f>
        <v>2.2678174900784668E-2</v>
      </c>
      <c r="E15" s="7">
        <f>$B15 * IFERROR(VLOOKUP("buildings|SO2|Work loss days", US_national_yearly!$D:$AM, 13, FALSE) / VLOOKUP("buildings|SO2|Work loss days", US_national_yearly!$D:$AM, 10, FALSE), 1)</f>
        <v>2.275138023583308E-2</v>
      </c>
      <c r="F15" s="7">
        <f>$B15 * IFERROR(VLOOKUP("buildings|SO2|Work loss days", US_national_yearly!$D:$AM, 14, FALSE) / VLOOKUP("buildings|SO2|Work loss days", US_national_yearly!$D:$AM, 10, FALSE), 1)</f>
        <v>2.2824585570881486E-2</v>
      </c>
      <c r="G15" s="7">
        <f>$B15 * IFERROR(VLOOKUP("buildings|SO2|Work loss days", US_national_yearly!$D:$AM, 15, FALSE) / VLOOKUP("buildings|SO2|Work loss days", US_national_yearly!$D:$AM, 10, FALSE), 1)</f>
        <v>2.2920195789536999E-2</v>
      </c>
      <c r="H15" s="7">
        <f>$B15 * IFERROR(VLOOKUP("buildings|SO2|Work loss days", US_national_yearly!$D:$AM, 16, FALSE) / VLOOKUP("buildings|SO2|Work loss days", US_national_yearly!$D:$AM, 10, FALSE), 1)</f>
        <v>2.3015806008192519E-2</v>
      </c>
      <c r="I15" s="7">
        <f>$B15 * IFERROR(VLOOKUP("buildings|SO2|Work loss days", US_national_yearly!$D:$AM, 17, FALSE) / VLOOKUP("buildings|SO2|Work loss days", US_national_yearly!$D:$AM, 10, FALSE), 1)</f>
        <v>2.3155593499377937E-2</v>
      </c>
      <c r="J15" s="7">
        <f>$B15 * IFERROR(VLOOKUP("buildings|SO2|Work loss days", US_national_yearly!$D:$AM, 18, FALSE) / VLOOKUP("buildings|SO2|Work loss days", US_national_yearly!$D:$AM, 10, FALSE), 1)</f>
        <v>2.3295380990563351E-2</v>
      </c>
      <c r="K15" s="7">
        <f>$B15 * IFERROR(VLOOKUP("buildings|SO2|Work loss days", US_national_yearly!$D:$AM, 19, FALSE) / VLOOKUP("buildings|SO2|Work loss days", US_national_yearly!$D:$AM, 10, FALSE), 1)</f>
        <v>2.3435168481748769E-2</v>
      </c>
      <c r="L15" s="7">
        <f>$B15 * IFERROR(VLOOKUP("buildings|SO2|Work loss days", US_national_yearly!$D:$AM, 20, FALSE) / VLOOKUP("buildings|SO2|Work loss days", US_national_yearly!$D:$AM, 10, FALSE), 1)</f>
        <v>2.3574955972934183E-2</v>
      </c>
      <c r="M15" s="7">
        <f>$B15 * IFERROR(VLOOKUP("buildings|SO2|Work loss days", US_national_yearly!$D:$AM, 21, FALSE) / VLOOKUP("buildings|SO2|Work loss days", US_national_yearly!$D:$AM, 10, FALSE), 1)</f>
        <v>2.3714743464119593E-2</v>
      </c>
      <c r="N15" s="7">
        <f>$B15 * IFERROR(VLOOKUP("buildings|SO2|Work loss days", US_national_yearly!$D:$AM, 22, FALSE) / VLOOKUP("buildings|SO2|Work loss days", US_national_yearly!$D:$AM, 10, FALSE), 1)</f>
        <v>2.3890034688167347E-2</v>
      </c>
      <c r="O15" s="7">
        <f>$B15 * IFERROR(VLOOKUP("buildings|SO2|Work loss days", US_national_yearly!$D:$AM, 23, FALSE) / VLOOKUP("buildings|SO2|Work loss days", US_national_yearly!$D:$AM, 10, FALSE), 1)</f>
        <v>2.4065325912215097E-2</v>
      </c>
      <c r="P15" s="7">
        <f>$B15 * IFERROR(VLOOKUP("buildings|SO2|Work loss days", US_national_yearly!$D:$AM, 24, FALSE) / VLOOKUP("buildings|SO2|Work loss days", US_national_yearly!$D:$AM, 10, FALSE), 1)</f>
        <v>2.4240617136262847E-2</v>
      </c>
      <c r="Q15" s="7">
        <f>$B15 * IFERROR(VLOOKUP("buildings|SO2|Work loss days", US_national_yearly!$D:$AM, 25, FALSE) / VLOOKUP("buildings|SO2|Work loss days", US_national_yearly!$D:$AM, 10, FALSE), 1)</f>
        <v>2.4415908360310601E-2</v>
      </c>
      <c r="R15" s="7">
        <f>$B15 * IFERROR(VLOOKUP("buildings|SO2|Work loss days", US_national_yearly!$D:$AM, 26, FALSE) / VLOOKUP("buildings|SO2|Work loss days", US_national_yearly!$D:$AM, 10, FALSE), 1)</f>
        <v>2.4591199584358344E-2</v>
      </c>
      <c r="S15" s="7">
        <f>$B15 * IFERROR(VLOOKUP("buildings|SO2|Work loss days", US_national_yearly!$D:$AM, 27, FALSE) / VLOOKUP("buildings|SO2|Work loss days", US_national_yearly!$D:$AM, 10, FALSE), 1)</f>
        <v>2.478701523617121E-2</v>
      </c>
      <c r="T15" s="7">
        <f>$B15 * IFERROR(VLOOKUP("buildings|SO2|Work loss days", US_national_yearly!$D:$AM, 28, FALSE) / VLOOKUP("buildings|SO2|Work loss days", US_national_yearly!$D:$AM, 10, FALSE), 1)</f>
        <v>2.4982830887984076E-2</v>
      </c>
      <c r="U15" s="7">
        <f>$B15 * IFERROR(VLOOKUP("buildings|SO2|Work loss days", US_national_yearly!$D:$AM, 29, FALSE) / VLOOKUP("buildings|SO2|Work loss days", US_national_yearly!$D:$AM, 10, FALSE), 1)</f>
        <v>2.5178646539796946E-2</v>
      </c>
      <c r="V15" s="7">
        <f>$B15 * IFERROR(VLOOKUP("buildings|SO2|Work loss days", US_national_yearly!$D:$AM, 30, FALSE) / VLOOKUP("buildings|SO2|Work loss days", US_national_yearly!$D:$AM, 10, FALSE), 1)</f>
        <v>2.5374462191609808E-2</v>
      </c>
      <c r="W15" s="7">
        <f>$B15 * IFERROR(VLOOKUP("buildings|SO2|Work loss days", US_national_yearly!$D:$AM, 31, FALSE) / VLOOKUP("buildings|SO2|Work loss days", US_national_yearly!$D:$AM, 10, FALSE), 1)</f>
        <v>2.5570277843422674E-2</v>
      </c>
      <c r="X15" s="7">
        <f>$B15 * IFERROR(VLOOKUP("buildings|SO2|Work loss days", US_national_yearly!$D:$AM, 32, FALSE) / VLOOKUP("buildings|SO2|Work loss days", US_national_yearly!$D:$AM, 10, FALSE), 1)</f>
        <v>2.5746097217186348E-2</v>
      </c>
      <c r="Y15" s="7">
        <f>$B15 * IFERROR(VLOOKUP("buildings|SO2|Work loss days", US_national_yearly!$D:$AM, 33, FALSE) / VLOOKUP("buildings|SO2|Work loss days", US_national_yearly!$D:$AM, 10, FALSE), 1)</f>
        <v>2.5921916590950018E-2</v>
      </c>
      <c r="Z15" s="7">
        <f>$B15 * IFERROR(VLOOKUP("buildings|SO2|Work loss days", US_national_yearly!$D:$AM, 34, FALSE) / VLOOKUP("buildings|SO2|Work loss days", US_national_yearly!$D:$AM, 10, FALSE), 1)</f>
        <v>2.6097735964713684E-2</v>
      </c>
      <c r="AA15" s="7">
        <f>$B15 * IFERROR(VLOOKUP("buildings|SO2|Work loss days", US_national_yearly!$D:$AM, 35, FALSE) / VLOOKUP("buildings|SO2|Work loss days", US_national_yearly!$D:$AM, 10, FALSE), 1)</f>
        <v>2.6273555338477358E-2</v>
      </c>
      <c r="AB15" s="7">
        <f>$B15 * IFERROR(VLOOKUP("buildings|SO2|Work loss days", US_national_yearly!$D:$AM, 36, FALSE) / VLOOKUP("buildings|SO2|Work loss days", US_national_yearly!$D:$AM, 10, FALSE), 1)</f>
        <v>2.6449374712241024E-2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3.4052668373965777E-5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3.5082739747337361E-5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3.6112811120708952E-5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3.7142882494080543E-5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3.8172953867452127E-5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3.9159700543198838E-5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4.0146447218945536E-5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4.0992087132284972E-5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4.1837727045624394E-5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4.2683366958963824E-5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4.3529006872303253E-5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4.4374646785642675E-5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4.4942477039885707E-5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4.5510307294128738E-5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4.6078137548371776E-5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4.66459678026148E-5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4.7213798056857832E-5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4.7512407992308939E-5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4.7811017927760039E-5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4.8109627863211139E-5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4.8408237798662239E-5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4.8706847734113333E-5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4.8907364977056672E-5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4.9107882219999998E-5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4.9308399462943324E-5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4.9508916705886657E-5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4.9709433948829983E-5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1.8177331380006924E-3</v>
      </c>
      <c r="C2" s="7">
        <f>$B2 * IFERROR(VLOOKUP("industry|PM25|Premature mortality", US_national_yearly!$D:$AM, 11, FALSE) / VLOOKUP("industry|PM25|Premature mortality", US_national_yearly!$D:$AM, 10, FALSE), 1)</f>
        <v>1.8403698557288464E-3</v>
      </c>
      <c r="D2" s="7">
        <f>$B2 * IFERROR(VLOOKUP("industry|PM25|Premature mortality", US_national_yearly!$D:$AM, 12, FALSE) / VLOOKUP("industry|PM25|Premature mortality", US_national_yearly!$D:$AM, 10, FALSE), 1)</f>
        <v>1.8630065734569999E-3</v>
      </c>
      <c r="E2" s="7">
        <f>$B2 * IFERROR(VLOOKUP("industry|PM25|Premature mortality", US_national_yearly!$D:$AM, 13, FALSE) / VLOOKUP("industry|PM25|Premature mortality", US_national_yearly!$D:$AM, 10, FALSE), 1)</f>
        <v>1.8856432911851541E-3</v>
      </c>
      <c r="F2" s="7">
        <f>$B2 * IFERROR(VLOOKUP("industry|PM25|Premature mortality", US_national_yearly!$D:$AM, 14, FALSE) / VLOOKUP("industry|PM25|Premature mortality", US_national_yearly!$D:$AM, 10, FALSE), 1)</f>
        <v>1.9082800089133076E-3</v>
      </c>
      <c r="G2" s="7">
        <f>$B2 * IFERROR(VLOOKUP("industry|PM25|Premature mortality", US_national_yearly!$D:$AM, 15, FALSE) / VLOOKUP("industry|PM25|Premature mortality", US_national_yearly!$D:$AM, 10, FALSE), 1)</f>
        <v>1.9523193916498123E-3</v>
      </c>
      <c r="H2" s="7">
        <f>$B2 * IFERROR(VLOOKUP("industry|PM25|Premature mortality", US_national_yearly!$D:$AM, 16, FALSE) / VLOOKUP("industry|PM25|Premature mortality", US_national_yearly!$D:$AM, 10, FALSE), 1)</f>
        <v>1.9963587743863169E-3</v>
      </c>
      <c r="I2" s="7">
        <f>$B2 * IFERROR(VLOOKUP("industry|PM25|Premature mortality", US_national_yearly!$D:$AM, 17, FALSE) / VLOOKUP("industry|PM25|Premature mortality", US_national_yearly!$D:$AM, 10, FALSE), 1)</f>
        <v>2.0254378324060583E-3</v>
      </c>
      <c r="J2" s="7">
        <f>$B2 * IFERROR(VLOOKUP("industry|PM25|Premature mortality", US_national_yearly!$D:$AM, 18, FALSE) / VLOOKUP("industry|PM25|Premature mortality", US_national_yearly!$D:$AM, 10, FALSE), 1)</f>
        <v>2.0545168904257997E-3</v>
      </c>
      <c r="K2" s="7">
        <f>$B2 * IFERROR(VLOOKUP("industry|PM25|Premature mortality", US_national_yearly!$D:$AM, 19, FALSE) / VLOOKUP("industry|PM25|Premature mortality", US_national_yearly!$D:$AM, 10, FALSE), 1)</f>
        <v>2.083595948445541E-3</v>
      </c>
      <c r="L2" s="7">
        <f>$B2 * IFERROR(VLOOKUP("industry|PM25|Premature mortality", US_national_yearly!$D:$AM, 20, FALSE) / VLOOKUP("industry|PM25|Premature mortality", US_national_yearly!$D:$AM, 10, FALSE), 1)</f>
        <v>2.1126750064652824E-3</v>
      </c>
      <c r="M2" s="7">
        <f>$B2 * IFERROR(VLOOKUP("industry|PM25|Premature mortality", US_national_yearly!$D:$AM, 21, FALSE) / VLOOKUP("industry|PM25|Premature mortality", US_national_yearly!$D:$AM, 10, FALSE), 1)</f>
        <v>2.1417540644850237E-3</v>
      </c>
      <c r="N2" s="7">
        <f>$B2 * IFERROR(VLOOKUP("industry|PM25|Premature mortality", US_national_yearly!$D:$AM, 22, FALSE) / VLOOKUP("industry|PM25|Premature mortality", US_national_yearly!$D:$AM, 10, FALSE), 1)</f>
        <v>2.1644091368507143E-3</v>
      </c>
      <c r="O2" s="7">
        <f>$B2 * IFERROR(VLOOKUP("industry|PM25|Premature mortality", US_national_yearly!$D:$AM, 23, FALSE) / VLOOKUP("industry|PM25|Premature mortality", US_national_yearly!$D:$AM, 10, FALSE), 1)</f>
        <v>2.1870642092164045E-3</v>
      </c>
      <c r="P2" s="7">
        <f>$B2 * IFERROR(VLOOKUP("industry|PM25|Premature mortality", US_national_yearly!$D:$AM, 24, FALSE) / VLOOKUP("industry|PM25|Premature mortality", US_national_yearly!$D:$AM, 10, FALSE), 1)</f>
        <v>2.2097192815820951E-3</v>
      </c>
      <c r="Q2" s="7">
        <f>$B2 * IFERROR(VLOOKUP("industry|PM25|Premature mortality", US_national_yearly!$D:$AM, 25, FALSE) / VLOOKUP("industry|PM25|Premature mortality", US_national_yearly!$D:$AM, 10, FALSE), 1)</f>
        <v>2.2323743539477857E-3</v>
      </c>
      <c r="R2" s="7">
        <f>$B2 * IFERROR(VLOOKUP("industry|PM25|Premature mortality", US_national_yearly!$D:$AM, 26, FALSE) / VLOOKUP("industry|PM25|Premature mortality", US_national_yearly!$D:$AM, 10, FALSE), 1)</f>
        <v>2.2550294263134758E-3</v>
      </c>
      <c r="S2" s="7">
        <f>$B2 * IFERROR(VLOOKUP("industry|PM25|Premature mortality", US_national_yearly!$D:$AM, 27, FALSE) / VLOOKUP("industry|PM25|Premature mortality", US_national_yearly!$D:$AM, 10, FALSE), 1)</f>
        <v>2.2672623251205814E-3</v>
      </c>
      <c r="T2" s="7">
        <f>$B2 * IFERROR(VLOOKUP("industry|PM25|Premature mortality", US_national_yearly!$D:$AM, 28, FALSE) / VLOOKUP("industry|PM25|Premature mortality", US_national_yearly!$D:$AM, 10, FALSE), 1)</f>
        <v>2.279495223927687E-3</v>
      </c>
      <c r="U2" s="7">
        <f>$B2 * IFERROR(VLOOKUP("industry|PM25|Premature mortality", US_national_yearly!$D:$AM, 29, FALSE) / VLOOKUP("industry|PM25|Premature mortality", US_national_yearly!$D:$AM, 10, FALSE), 1)</f>
        <v>2.2917281227347931E-3</v>
      </c>
      <c r="V2" s="7">
        <f>$B2 * IFERROR(VLOOKUP("industry|PM25|Premature mortality", US_national_yearly!$D:$AM, 30, FALSE) / VLOOKUP("industry|PM25|Premature mortality", US_national_yearly!$D:$AM, 10, FALSE), 1)</f>
        <v>2.3039610215418987E-3</v>
      </c>
      <c r="W2" s="7">
        <f>$B2 * IFERROR(VLOOKUP("industry|PM25|Premature mortality", US_national_yearly!$D:$AM, 31, FALSE) / VLOOKUP("industry|PM25|Premature mortality", US_national_yearly!$D:$AM, 10, FALSE), 1)</f>
        <v>2.3161939203490043E-3</v>
      </c>
      <c r="X2" s="7">
        <f>$B2 * IFERROR(VLOOKUP("industry|PM25|Premature mortality", US_national_yearly!$D:$AM, 32, FALSE) / VLOOKUP("industry|PM25|Premature mortality", US_national_yearly!$D:$AM, 10, FALSE), 1)</f>
        <v>2.3187195851817051E-3</v>
      </c>
      <c r="Y2" s="7">
        <f>$B2 * IFERROR(VLOOKUP("industry|PM25|Premature mortality", US_national_yearly!$D:$AM, 33, FALSE) / VLOOKUP("industry|PM25|Premature mortality", US_national_yearly!$D:$AM, 10, FALSE), 1)</f>
        <v>2.3212452500144072E-3</v>
      </c>
      <c r="Z2" s="7">
        <f>$B2 * IFERROR(VLOOKUP("industry|PM25|Premature mortality", US_national_yearly!$D:$AM, 34, FALSE) / VLOOKUP("industry|PM25|Premature mortality", US_national_yearly!$D:$AM, 10, FALSE), 1)</f>
        <v>2.3237709148471084E-3</v>
      </c>
      <c r="AA2" s="7">
        <f>$B2 * IFERROR(VLOOKUP("industry|PM25|Premature mortality", US_national_yearly!$D:$AM, 35, FALSE) / VLOOKUP("industry|PM25|Premature mortality", US_national_yearly!$D:$AM, 10, FALSE), 1)</f>
        <v>2.3262965796798101E-3</v>
      </c>
      <c r="AB2" s="7">
        <f>$B2 * IFERROR(VLOOKUP("industry|PM25|Premature mortality", US_national_yearly!$D:$AM, 36, FALSE) / VLOOKUP("industry|PM25|Premature mortality", US_national_yearly!$D:$AM, 10, FALSE), 1)</f>
        <v>2.3288222445125113E-3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3.8805405780695185E-6</v>
      </c>
      <c r="C3" s="7">
        <f>$B3 * IFERROR(VLOOKUP("industry|PM25|Infant mortality", US_national_yearly!$D:$AM, 11, FALSE) / VLOOKUP("industry|PM25|Infant mortality", US_national_yearly!$D:$AM, 10, FALSE), 1)</f>
        <v>3.8467532978034299E-6</v>
      </c>
      <c r="D3" s="7">
        <f>$B3 * IFERROR(VLOOKUP("industry|PM25|Infant mortality", US_national_yearly!$D:$AM, 12, FALSE) / VLOOKUP("industry|PM25|Infant mortality", US_national_yearly!$D:$AM, 10, FALSE), 1)</f>
        <v>3.8129660175373412E-6</v>
      </c>
      <c r="E3" s="7">
        <f>$B3 * IFERROR(VLOOKUP("industry|PM25|Infant mortality", US_national_yearly!$D:$AM, 13, FALSE) / VLOOKUP("industry|PM25|Infant mortality", US_national_yearly!$D:$AM, 10, FALSE), 1)</f>
        <v>3.7791787372712522E-6</v>
      </c>
      <c r="F3" s="7">
        <f>$B3 * IFERROR(VLOOKUP("industry|PM25|Infant mortality", US_national_yearly!$D:$AM, 14, FALSE) / VLOOKUP("industry|PM25|Infant mortality", US_national_yearly!$D:$AM, 10, FALSE), 1)</f>
        <v>3.7453914570051639E-6</v>
      </c>
      <c r="G3" s="7">
        <f>$B3 * IFERROR(VLOOKUP("industry|PM25|Infant mortality", US_national_yearly!$D:$AM, 15, FALSE) / VLOOKUP("industry|PM25|Infant mortality", US_national_yearly!$D:$AM, 10, FALSE), 1)</f>
        <v>2.4885691839030255E-6</v>
      </c>
      <c r="H3" s="7">
        <f>$B3 * IFERROR(VLOOKUP("industry|PM25|Infant mortality", US_national_yearly!$D:$AM, 16, FALSE) / VLOOKUP("industry|PM25|Infant mortality", US_national_yearly!$D:$AM, 10, FALSE), 1)</f>
        <v>1.2317469108008871E-6</v>
      </c>
      <c r="I3" s="7">
        <f>$B3 * IFERROR(VLOOKUP("industry|PM25|Infant mortality", US_national_yearly!$D:$AM, 17, FALSE) / VLOOKUP("industry|PM25|Infant mortality", US_national_yearly!$D:$AM, 10, FALSE), 1)</f>
        <v>1.2235484202210522E-6</v>
      </c>
      <c r="J3" s="7">
        <f>$B3 * IFERROR(VLOOKUP("industry|PM25|Infant mortality", US_national_yearly!$D:$AM, 18, FALSE) / VLOOKUP("industry|PM25|Infant mortality", US_national_yearly!$D:$AM, 10, FALSE), 1)</f>
        <v>1.2153499296412173E-6</v>
      </c>
      <c r="K3" s="7">
        <f>$B3 * IFERROR(VLOOKUP("industry|PM25|Infant mortality", US_national_yearly!$D:$AM, 19, FALSE) / VLOOKUP("industry|PM25|Infant mortality", US_national_yearly!$D:$AM, 10, FALSE), 1)</f>
        <v>1.2071514390613823E-6</v>
      </c>
      <c r="L3" s="7">
        <f>$B3 * IFERROR(VLOOKUP("industry|PM25|Infant mortality", US_national_yearly!$D:$AM, 20, FALSE) / VLOOKUP("industry|PM25|Infant mortality", US_national_yearly!$D:$AM, 10, FALSE), 1)</f>
        <v>1.1989529484815474E-6</v>
      </c>
      <c r="M3" s="7">
        <f>$B3 * IFERROR(VLOOKUP("industry|PM25|Infant mortality", US_national_yearly!$D:$AM, 21, FALSE) / VLOOKUP("industry|PM25|Infant mortality", US_national_yearly!$D:$AM, 10, FALSE), 1)</f>
        <v>1.1907544579017127E-6</v>
      </c>
      <c r="N3" s="7">
        <f>$B3 * IFERROR(VLOOKUP("industry|PM25|Infant mortality", US_national_yearly!$D:$AM, 22, FALSE) / VLOOKUP("industry|PM25|Infant mortality", US_national_yearly!$D:$AM, 10, FALSE), 1)</f>
        <v>1.1855230225498599E-6</v>
      </c>
      <c r="O3" s="7">
        <f>$B3 * IFERROR(VLOOKUP("industry|PM25|Infant mortality", US_national_yearly!$D:$AM, 23, FALSE) / VLOOKUP("industry|PM25|Infant mortality", US_national_yearly!$D:$AM, 10, FALSE), 1)</f>
        <v>1.1802915871980073E-6</v>
      </c>
      <c r="P3" s="7">
        <f>$B3 * IFERROR(VLOOKUP("industry|PM25|Infant mortality", US_national_yearly!$D:$AM, 24, FALSE) / VLOOKUP("industry|PM25|Infant mortality", US_national_yearly!$D:$AM, 10, FALSE), 1)</f>
        <v>1.175060151846155E-6</v>
      </c>
      <c r="Q3" s="7">
        <f>$B3 * IFERROR(VLOOKUP("industry|PM25|Infant mortality", US_national_yearly!$D:$AM, 25, FALSE) / VLOOKUP("industry|PM25|Infant mortality", US_national_yearly!$D:$AM, 10, FALSE), 1)</f>
        <v>1.1698287164943024E-6</v>
      </c>
      <c r="R3" s="7">
        <f>$B3 * IFERROR(VLOOKUP("industry|PM25|Infant mortality", US_national_yearly!$D:$AM, 26, FALSE) / VLOOKUP("industry|PM25|Infant mortality", US_national_yearly!$D:$AM, 10, FALSE), 1)</f>
        <v>1.1645972811424498E-6</v>
      </c>
      <c r="S3" s="7">
        <f>$B3 * IFERROR(VLOOKUP("industry|PM25|Infant mortality", US_national_yearly!$D:$AM, 27, FALSE) / VLOOKUP("industry|PM25|Infant mortality", US_national_yearly!$D:$AM, 10, FALSE), 1)</f>
        <v>1.1581630880079025E-6</v>
      </c>
      <c r="T3" s="7">
        <f>$B3 * IFERROR(VLOOKUP("industry|PM25|Infant mortality", US_national_yearly!$D:$AM, 28, FALSE) / VLOOKUP("industry|PM25|Infant mortality", US_national_yearly!$D:$AM, 10, FALSE), 1)</f>
        <v>1.1517288948733557E-6</v>
      </c>
      <c r="U3" s="7">
        <f>$B3 * IFERROR(VLOOKUP("industry|PM25|Infant mortality", US_national_yearly!$D:$AM, 29, FALSE) / VLOOKUP("industry|PM25|Infant mortality", US_national_yearly!$D:$AM, 10, FALSE), 1)</f>
        <v>1.1452947017388084E-6</v>
      </c>
      <c r="V3" s="7">
        <f>$B3 * IFERROR(VLOOKUP("industry|PM25|Infant mortality", US_national_yearly!$D:$AM, 30, FALSE) / VLOOKUP("industry|PM25|Infant mortality", US_national_yearly!$D:$AM, 10, FALSE), 1)</f>
        <v>1.1388605086042614E-6</v>
      </c>
      <c r="W3" s="7">
        <f>$B3 * IFERROR(VLOOKUP("industry|PM25|Infant mortality", US_national_yearly!$D:$AM, 31, FALSE) / VLOOKUP("industry|PM25|Infant mortality", US_national_yearly!$D:$AM, 10, FALSE), 1)</f>
        <v>1.1324263154697145E-6</v>
      </c>
      <c r="X3" s="7">
        <f>$B3 * IFERROR(VLOOKUP("industry|PM25|Infant mortality", US_national_yearly!$D:$AM, 32, FALSE) / VLOOKUP("industry|PM25|Infant mortality", US_national_yearly!$D:$AM, 10, FALSE), 1)</f>
        <v>1.1255505738787167E-6</v>
      </c>
      <c r="Y3" s="7">
        <f>$B3 * IFERROR(VLOOKUP("industry|PM25|Infant mortality", US_national_yearly!$D:$AM, 33, FALSE) / VLOOKUP("industry|PM25|Infant mortality", US_national_yearly!$D:$AM, 10, FALSE), 1)</f>
        <v>1.1186748322877186E-6</v>
      </c>
      <c r="Z3" s="7">
        <f>$B3 * IFERROR(VLOOKUP("industry|PM25|Infant mortality", US_national_yearly!$D:$AM, 34, FALSE) / VLOOKUP("industry|PM25|Infant mortality", US_national_yearly!$D:$AM, 10, FALSE), 1)</f>
        <v>1.1117990906967208E-6</v>
      </c>
      <c r="AA3" s="7">
        <f>$B3 * IFERROR(VLOOKUP("industry|PM25|Infant mortality", US_national_yearly!$D:$AM, 35, FALSE) / VLOOKUP("industry|PM25|Infant mortality", US_national_yearly!$D:$AM, 10, FALSE), 1)</f>
        <v>1.1049233491057227E-6</v>
      </c>
      <c r="AB3" s="7">
        <f>$B3 * IFERROR(VLOOKUP("industry|PM25|Infant mortality", US_national_yearly!$D:$AM, 36, FALSE) / VLOOKUP("industry|PM25|Infant mortality", US_national_yearly!$D:$AM, 10, FALSE), 1)</f>
        <v>1.0980476075147249E-6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4.0494338560144181E-3</v>
      </c>
      <c r="C6" s="7">
        <f>$B6 * IFERROR(VLOOKUP("industry|PM25|Asthma symptoms cough", US_national_yearly!$D:$AM, 11, FALSE) / VLOOKUP("industry|PM25|Asthma symptoms cough", US_national_yearly!$D:$AM, 10, FALSE), 1)</f>
        <v>4.0494338560144181E-3</v>
      </c>
      <c r="D6" s="7">
        <f>$B6 * IFERROR(VLOOKUP("industry|PM25|Asthma symptoms cough", US_national_yearly!$D:$AM, 12, FALSE) / VLOOKUP("industry|PM25|Asthma symptoms cough", US_national_yearly!$D:$AM, 10, FALSE), 1)</f>
        <v>4.0494338560144181E-3</v>
      </c>
      <c r="E6" s="7">
        <f>$B6 * IFERROR(VLOOKUP("industry|PM25|Asthma symptoms cough", US_national_yearly!$D:$AM, 13, FALSE) / VLOOKUP("industry|PM25|Asthma symptoms cough", US_national_yearly!$D:$AM, 10, FALSE), 1)</f>
        <v>4.0494338560144181E-3</v>
      </c>
      <c r="F6" s="7">
        <f>$B6 * IFERROR(VLOOKUP("industry|PM25|Asthma symptoms cough", US_national_yearly!$D:$AM, 14, FALSE) / VLOOKUP("industry|PM25|Asthma symptoms cough", US_national_yearly!$D:$AM, 10, FALSE), 1)</f>
        <v>4.0494338560144181E-3</v>
      </c>
      <c r="G6" s="7">
        <f>$B6 * IFERROR(VLOOKUP("industry|PM25|Asthma symptoms cough", US_national_yearly!$D:$AM, 15, FALSE) / VLOOKUP("industry|PM25|Asthma symptoms cough", US_national_yearly!$D:$AM, 10, FALSE), 1)</f>
        <v>4.0494338560144181E-3</v>
      </c>
      <c r="H6" s="7">
        <f>$B6 * IFERROR(VLOOKUP("industry|PM25|Asthma symptoms cough", US_national_yearly!$D:$AM, 16, FALSE) / VLOOKUP("industry|PM25|Asthma symptoms cough", US_national_yearly!$D:$AM, 10, FALSE), 1)</f>
        <v>4.0494338560144181E-3</v>
      </c>
      <c r="I6" s="7">
        <f>$B6 * IFERROR(VLOOKUP("industry|PM25|Asthma symptoms cough", US_national_yearly!$D:$AM, 17, FALSE) / VLOOKUP("industry|PM25|Asthma symptoms cough", US_national_yearly!$D:$AM, 10, FALSE), 1)</f>
        <v>4.0494338560144181E-3</v>
      </c>
      <c r="J6" s="7">
        <f>$B6 * IFERROR(VLOOKUP("industry|PM25|Asthma symptoms cough", US_national_yearly!$D:$AM, 18, FALSE) / VLOOKUP("industry|PM25|Asthma symptoms cough", US_national_yearly!$D:$AM, 10, FALSE), 1)</f>
        <v>4.0494338560144181E-3</v>
      </c>
      <c r="K6" s="7">
        <f>$B6 * IFERROR(VLOOKUP("industry|PM25|Asthma symptoms cough", US_national_yearly!$D:$AM, 19, FALSE) / VLOOKUP("industry|PM25|Asthma symptoms cough", US_national_yearly!$D:$AM, 10, FALSE), 1)</f>
        <v>4.0494338560144181E-3</v>
      </c>
      <c r="L6" s="7">
        <f>$B6 * IFERROR(VLOOKUP("industry|PM25|Asthma symptoms cough", US_national_yearly!$D:$AM, 20, FALSE) / VLOOKUP("industry|PM25|Asthma symptoms cough", US_national_yearly!$D:$AM, 10, FALSE), 1)</f>
        <v>4.0494338560144181E-3</v>
      </c>
      <c r="M6" s="7">
        <f>$B6 * IFERROR(VLOOKUP("industry|PM25|Asthma symptoms cough", US_national_yearly!$D:$AM, 21, FALSE) / VLOOKUP("industry|PM25|Asthma symptoms cough", US_national_yearly!$D:$AM, 10, FALSE), 1)</f>
        <v>4.0494338560144181E-3</v>
      </c>
      <c r="N6" s="7">
        <f>$B6 * IFERROR(VLOOKUP("industry|PM25|Asthma symptoms cough", US_national_yearly!$D:$AM, 22, FALSE) / VLOOKUP("industry|PM25|Asthma symptoms cough", US_national_yearly!$D:$AM, 10, FALSE), 1)</f>
        <v>4.0494338560144181E-3</v>
      </c>
      <c r="O6" s="7">
        <f>$B6 * IFERROR(VLOOKUP("industry|PM25|Asthma symptoms cough", US_national_yearly!$D:$AM, 23, FALSE) / VLOOKUP("industry|PM25|Asthma symptoms cough", US_national_yearly!$D:$AM, 10, FALSE), 1)</f>
        <v>4.0494338560144181E-3</v>
      </c>
      <c r="P6" s="7">
        <f>$B6 * IFERROR(VLOOKUP("industry|PM25|Asthma symptoms cough", US_national_yearly!$D:$AM, 24, FALSE) / VLOOKUP("industry|PM25|Asthma symptoms cough", US_national_yearly!$D:$AM, 10, FALSE), 1)</f>
        <v>4.0494338560144181E-3</v>
      </c>
      <c r="Q6" s="7">
        <f>$B6 * IFERROR(VLOOKUP("industry|PM25|Asthma symptoms cough", US_national_yearly!$D:$AM, 25, FALSE) / VLOOKUP("industry|PM25|Asthma symptoms cough", US_national_yearly!$D:$AM, 10, FALSE), 1)</f>
        <v>4.0494338560144181E-3</v>
      </c>
      <c r="R6" s="7">
        <f>$B6 * IFERROR(VLOOKUP("industry|PM25|Asthma symptoms cough", US_national_yearly!$D:$AM, 26, FALSE) / VLOOKUP("industry|PM25|Asthma symptoms cough", US_national_yearly!$D:$AM, 10, FALSE), 1)</f>
        <v>4.0494338560144181E-3</v>
      </c>
      <c r="S6" s="7">
        <f>$B6 * IFERROR(VLOOKUP("industry|PM25|Asthma symptoms cough", US_national_yearly!$D:$AM, 27, FALSE) / VLOOKUP("industry|PM25|Asthma symptoms cough", US_national_yearly!$D:$AM, 10, FALSE), 1)</f>
        <v>4.0494338560144181E-3</v>
      </c>
      <c r="T6" s="7">
        <f>$B6 * IFERROR(VLOOKUP("industry|PM25|Asthma symptoms cough", US_national_yearly!$D:$AM, 28, FALSE) / VLOOKUP("industry|PM25|Asthma symptoms cough", US_national_yearly!$D:$AM, 10, FALSE), 1)</f>
        <v>4.0494338560144181E-3</v>
      </c>
      <c r="U6" s="7">
        <f>$B6 * IFERROR(VLOOKUP("industry|PM25|Asthma symptoms cough", US_national_yearly!$D:$AM, 29, FALSE) / VLOOKUP("industry|PM25|Asthma symptoms cough", US_national_yearly!$D:$AM, 10, FALSE), 1)</f>
        <v>4.0494338560144181E-3</v>
      </c>
      <c r="V6" s="7">
        <f>$B6 * IFERROR(VLOOKUP("industry|PM25|Asthma symptoms cough", US_national_yearly!$D:$AM, 30, FALSE) / VLOOKUP("industry|PM25|Asthma symptoms cough", US_national_yearly!$D:$AM, 10, FALSE), 1)</f>
        <v>4.0494338560144181E-3</v>
      </c>
      <c r="W6" s="7">
        <f>$B6 * IFERROR(VLOOKUP("industry|PM25|Asthma symptoms cough", US_national_yearly!$D:$AM, 31, FALSE) / VLOOKUP("industry|PM25|Asthma symptoms cough", US_national_yearly!$D:$AM, 10, FALSE), 1)</f>
        <v>4.0494338560144181E-3</v>
      </c>
      <c r="X6" s="7">
        <f>$B6 * IFERROR(VLOOKUP("industry|PM25|Asthma symptoms cough", US_national_yearly!$D:$AM, 32, FALSE) / VLOOKUP("industry|PM25|Asthma symptoms cough", US_national_yearly!$D:$AM, 10, FALSE), 1)</f>
        <v>4.0494338560144181E-3</v>
      </c>
      <c r="Y6" s="7">
        <f>$B6 * IFERROR(VLOOKUP("industry|PM25|Asthma symptoms cough", US_national_yearly!$D:$AM, 33, FALSE) / VLOOKUP("industry|PM25|Asthma symptoms cough", US_national_yearly!$D:$AM, 10, FALSE), 1)</f>
        <v>4.0494338560144181E-3</v>
      </c>
      <c r="Z6" s="7">
        <f>$B6 * IFERROR(VLOOKUP("industry|PM25|Asthma symptoms cough", US_national_yearly!$D:$AM, 34, FALSE) / VLOOKUP("industry|PM25|Asthma symptoms cough", US_national_yearly!$D:$AM, 10, FALSE), 1)</f>
        <v>4.0494338560144181E-3</v>
      </c>
      <c r="AA6" s="7">
        <f>$B6 * IFERROR(VLOOKUP("industry|PM25|Asthma symptoms cough", US_national_yearly!$D:$AM, 35, FALSE) / VLOOKUP("industry|PM25|Asthma symptoms cough", US_national_yearly!$D:$AM, 10, FALSE), 1)</f>
        <v>4.0494338560144181E-3</v>
      </c>
      <c r="AB6" s="7">
        <f>$B6 * IFERROR(VLOOKUP("industry|PM25|Asthma symptoms cough", US_national_yearly!$D:$AM, 36, FALSE) / VLOOKUP("industry|PM25|Asthma symptoms cough", US_national_yearly!$D:$AM, 10, FALSE), 1)</f>
        <v>4.0494338560144181E-3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5.4531018447367885E-3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5.4531018447367885E-3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5.4531018447367885E-3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5.4531018447367885E-3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5.4531018447367885E-3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5.4531018447367885E-3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5.4531018447367885E-3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5.4531018447367885E-3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5.4531018447367885E-3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5.4531018447367885E-3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5.4531018447367885E-3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5.4531018447367885E-3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5.4531018447367885E-3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5.4531018447367885E-3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5.4531018447367885E-3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5.4531018447367885E-3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5.4531018447367885E-3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5.4531018447367885E-3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5.4531018447367885E-3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5.4531018447367885E-3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5.4531018447367885E-3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5.4531018447367885E-3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5.4531018447367885E-3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5.4531018447367885E-3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5.4531018447367885E-3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5.4531018447367885E-3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5.4531018447367885E-3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8.3315881826385371E-3</v>
      </c>
      <c r="C8" s="7">
        <f>$B8 * IFERROR(VLOOKUP("industry|PM25|Asthma symptoms wheeze", US_national_yearly!$D:$AM, 11, FALSE) / VLOOKUP("industry|PM25|Asthma symptoms wheeze", US_national_yearly!$D:$AM, 10, FALSE), 1)</f>
        <v>8.3315881826385371E-3</v>
      </c>
      <c r="D8" s="7">
        <f>$B8 * IFERROR(VLOOKUP("industry|PM25|Asthma symptoms wheeze", US_national_yearly!$D:$AM, 12, FALSE) / VLOOKUP("industry|PM25|Asthma symptoms wheeze", US_national_yearly!$D:$AM, 10, FALSE), 1)</f>
        <v>8.3315881826385371E-3</v>
      </c>
      <c r="E8" s="7">
        <f>$B8 * IFERROR(VLOOKUP("industry|PM25|Asthma symptoms wheeze", US_national_yearly!$D:$AM, 13, FALSE) / VLOOKUP("industry|PM25|Asthma symptoms wheeze", US_national_yearly!$D:$AM, 10, FALSE), 1)</f>
        <v>8.3315881826385371E-3</v>
      </c>
      <c r="F8" s="7">
        <f>$B8 * IFERROR(VLOOKUP("industry|PM25|Asthma symptoms wheeze", US_national_yearly!$D:$AM, 14, FALSE) / VLOOKUP("industry|PM25|Asthma symptoms wheeze", US_national_yearly!$D:$AM, 10, FALSE), 1)</f>
        <v>8.3315881826385371E-3</v>
      </c>
      <c r="G8" s="7">
        <f>$B8 * IFERROR(VLOOKUP("industry|PM25|Asthma symptoms wheeze", US_national_yearly!$D:$AM, 15, FALSE) / VLOOKUP("industry|PM25|Asthma symptoms wheeze", US_national_yearly!$D:$AM, 10, FALSE), 1)</f>
        <v>8.3315881826385371E-3</v>
      </c>
      <c r="H8" s="7">
        <f>$B8 * IFERROR(VLOOKUP("industry|PM25|Asthma symptoms wheeze", US_national_yearly!$D:$AM, 16, FALSE) / VLOOKUP("industry|PM25|Asthma symptoms wheeze", US_national_yearly!$D:$AM, 10, FALSE), 1)</f>
        <v>8.3315881826385371E-3</v>
      </c>
      <c r="I8" s="7">
        <f>$B8 * IFERROR(VLOOKUP("industry|PM25|Asthma symptoms wheeze", US_national_yearly!$D:$AM, 17, FALSE) / VLOOKUP("industry|PM25|Asthma symptoms wheeze", US_national_yearly!$D:$AM, 10, FALSE), 1)</f>
        <v>8.3315881826385371E-3</v>
      </c>
      <c r="J8" s="7">
        <f>$B8 * IFERROR(VLOOKUP("industry|PM25|Asthma symptoms wheeze", US_national_yearly!$D:$AM, 18, FALSE) / VLOOKUP("industry|PM25|Asthma symptoms wheeze", US_national_yearly!$D:$AM, 10, FALSE), 1)</f>
        <v>8.3315881826385371E-3</v>
      </c>
      <c r="K8" s="7">
        <f>$B8 * IFERROR(VLOOKUP("industry|PM25|Asthma symptoms wheeze", US_national_yearly!$D:$AM, 19, FALSE) / VLOOKUP("industry|PM25|Asthma symptoms wheeze", US_national_yearly!$D:$AM, 10, FALSE), 1)</f>
        <v>8.3315881826385371E-3</v>
      </c>
      <c r="L8" s="7">
        <f>$B8 * IFERROR(VLOOKUP("industry|PM25|Asthma symptoms wheeze", US_national_yearly!$D:$AM, 20, FALSE) / VLOOKUP("industry|PM25|Asthma symptoms wheeze", US_national_yearly!$D:$AM, 10, FALSE), 1)</f>
        <v>8.3315881826385371E-3</v>
      </c>
      <c r="M8" s="7">
        <f>$B8 * IFERROR(VLOOKUP("industry|PM25|Asthma symptoms wheeze", US_national_yearly!$D:$AM, 21, FALSE) / VLOOKUP("industry|PM25|Asthma symptoms wheeze", US_national_yearly!$D:$AM, 10, FALSE), 1)</f>
        <v>8.3315881826385371E-3</v>
      </c>
      <c r="N8" s="7">
        <f>$B8 * IFERROR(VLOOKUP("industry|PM25|Asthma symptoms wheeze", US_national_yearly!$D:$AM, 22, FALSE) / VLOOKUP("industry|PM25|Asthma symptoms wheeze", US_national_yearly!$D:$AM, 10, FALSE), 1)</f>
        <v>8.3315881826385371E-3</v>
      </c>
      <c r="O8" s="7">
        <f>$B8 * IFERROR(VLOOKUP("industry|PM25|Asthma symptoms wheeze", US_national_yearly!$D:$AM, 23, FALSE) / VLOOKUP("industry|PM25|Asthma symptoms wheeze", US_national_yearly!$D:$AM, 10, FALSE), 1)</f>
        <v>8.3315881826385371E-3</v>
      </c>
      <c r="P8" s="7">
        <f>$B8 * IFERROR(VLOOKUP("industry|PM25|Asthma symptoms wheeze", US_national_yearly!$D:$AM, 24, FALSE) / VLOOKUP("industry|PM25|Asthma symptoms wheeze", US_national_yearly!$D:$AM, 10, FALSE), 1)</f>
        <v>8.3315881826385371E-3</v>
      </c>
      <c r="Q8" s="7">
        <f>$B8 * IFERROR(VLOOKUP("industry|PM25|Asthma symptoms wheeze", US_national_yearly!$D:$AM, 25, FALSE) / VLOOKUP("industry|PM25|Asthma symptoms wheeze", US_national_yearly!$D:$AM, 10, FALSE), 1)</f>
        <v>8.3315881826385371E-3</v>
      </c>
      <c r="R8" s="7">
        <f>$B8 * IFERROR(VLOOKUP("industry|PM25|Asthma symptoms wheeze", US_national_yearly!$D:$AM, 26, FALSE) / VLOOKUP("industry|PM25|Asthma symptoms wheeze", US_national_yearly!$D:$AM, 10, FALSE), 1)</f>
        <v>8.3315881826385371E-3</v>
      </c>
      <c r="S8" s="7">
        <f>$B8 * IFERROR(VLOOKUP("industry|PM25|Asthma symptoms wheeze", US_national_yearly!$D:$AM, 27, FALSE) / VLOOKUP("industry|PM25|Asthma symptoms wheeze", US_national_yearly!$D:$AM, 10, FALSE), 1)</f>
        <v>8.3315881826385371E-3</v>
      </c>
      <c r="T8" s="7">
        <f>$B8 * IFERROR(VLOOKUP("industry|PM25|Asthma symptoms wheeze", US_national_yearly!$D:$AM, 28, FALSE) / VLOOKUP("industry|PM25|Asthma symptoms wheeze", US_national_yearly!$D:$AM, 10, FALSE), 1)</f>
        <v>8.3315881826385371E-3</v>
      </c>
      <c r="U8" s="7">
        <f>$B8 * IFERROR(VLOOKUP("industry|PM25|Asthma symptoms wheeze", US_national_yearly!$D:$AM, 29, FALSE) / VLOOKUP("industry|PM25|Asthma symptoms wheeze", US_national_yearly!$D:$AM, 10, FALSE), 1)</f>
        <v>8.3315881826385371E-3</v>
      </c>
      <c r="V8" s="7">
        <f>$B8 * IFERROR(VLOOKUP("industry|PM25|Asthma symptoms wheeze", US_national_yearly!$D:$AM, 30, FALSE) / VLOOKUP("industry|PM25|Asthma symptoms wheeze", US_national_yearly!$D:$AM, 10, FALSE), 1)</f>
        <v>8.3315881826385371E-3</v>
      </c>
      <c r="W8" s="7">
        <f>$B8 * IFERROR(VLOOKUP("industry|PM25|Asthma symptoms wheeze", US_national_yearly!$D:$AM, 31, FALSE) / VLOOKUP("industry|PM25|Asthma symptoms wheeze", US_national_yearly!$D:$AM, 10, FALSE), 1)</f>
        <v>8.3315881826385371E-3</v>
      </c>
      <c r="X8" s="7">
        <f>$B8 * IFERROR(VLOOKUP("industry|PM25|Asthma symptoms wheeze", US_national_yearly!$D:$AM, 32, FALSE) / VLOOKUP("industry|PM25|Asthma symptoms wheeze", US_national_yearly!$D:$AM, 10, FALSE), 1)</f>
        <v>8.3315881826385371E-3</v>
      </c>
      <c r="Y8" s="7">
        <f>$B8 * IFERROR(VLOOKUP("industry|PM25|Asthma symptoms wheeze", US_national_yearly!$D:$AM, 33, FALSE) / VLOOKUP("industry|PM25|Asthma symptoms wheeze", US_national_yearly!$D:$AM, 10, FALSE), 1)</f>
        <v>8.3315881826385371E-3</v>
      </c>
      <c r="Z8" s="7">
        <f>$B8 * IFERROR(VLOOKUP("industry|PM25|Asthma symptoms wheeze", US_national_yearly!$D:$AM, 34, FALSE) / VLOOKUP("industry|PM25|Asthma symptoms wheeze", US_national_yearly!$D:$AM, 10, FALSE), 1)</f>
        <v>8.3315881826385371E-3</v>
      </c>
      <c r="AA8" s="7">
        <f>$B8 * IFERROR(VLOOKUP("industry|PM25|Asthma symptoms wheeze", US_national_yearly!$D:$AM, 35, FALSE) / VLOOKUP("industry|PM25|Asthma symptoms wheeze", US_national_yearly!$D:$AM, 10, FALSE), 1)</f>
        <v>8.3315881826385371E-3</v>
      </c>
      <c r="AB8" s="7">
        <f>$B8 * IFERROR(VLOOKUP("industry|PM25|Asthma symptoms wheeze", US_national_yearly!$D:$AM, 36, FALSE) / VLOOKUP("industry|PM25|Asthma symptoms wheeze", US_national_yearly!$D:$AM, 10, FALSE), 1)</f>
        <v>8.3315881826385371E-3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1.340590997960118E-4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1.3482022886911538E-4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1.3558135794221896E-4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1.3634248701532251E-4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1.3710361608842612E-4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1.3792654018195962E-4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1.3874946427549315E-4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1.395301113073685E-4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1.4031075833924388E-4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1.4109140537111922E-4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1.4187205240299457E-4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1.4265269943486994E-4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1.4320482921273376E-4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1.4375695899059756E-4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1.443090887684614E-4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1.448612185463252E-4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1.4541334832418902E-4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1.4593410431983648E-4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1.4645486031548394E-4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1.4697561631113142E-4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1.4749637230677888E-4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1.4801712830242637E-4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1.4851854061547688E-4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1.4901995292852742E-4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1.4952136524157798E-4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1.5002277755462855E-4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1.5052418986767909E-4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6.5525132277448133E-4</v>
      </c>
      <c r="C13" s="7">
        <f>$B13 * IFERROR(VLOOKUP("industry|PM25|Non-fatal heart attacks", US_national_yearly!$D:$AM, 11, FALSE) / VLOOKUP("industry|PM25|Non-fatal heart attacks", US_national_yearly!$D:$AM, 10, FALSE), 1)</f>
        <v>6.7432586059121735E-4</v>
      </c>
      <c r="D13" s="7">
        <f>$B13 * IFERROR(VLOOKUP("industry|PM25|Non-fatal heart attacks", US_national_yearly!$D:$AM, 12, FALSE) / VLOOKUP("industry|PM25|Non-fatal heart attacks", US_national_yearly!$D:$AM, 10, FALSE), 1)</f>
        <v>6.9340039840795316E-4</v>
      </c>
      <c r="E13" s="7">
        <f>$B13 * IFERROR(VLOOKUP("industry|PM25|Non-fatal heart attacks", US_national_yearly!$D:$AM, 13, FALSE) / VLOOKUP("industry|PM25|Non-fatal heart attacks", US_national_yearly!$D:$AM, 10, FALSE), 1)</f>
        <v>7.1247493622468919E-4</v>
      </c>
      <c r="F13" s="7">
        <f>$B13 * IFERROR(VLOOKUP("industry|PM25|Non-fatal heart attacks", US_national_yearly!$D:$AM, 14, FALSE) / VLOOKUP("industry|PM25|Non-fatal heart attacks", US_national_yearly!$D:$AM, 10, FALSE), 1)</f>
        <v>7.3154947404142521E-4</v>
      </c>
      <c r="G13" s="7">
        <f>$B13 * IFERROR(VLOOKUP("industry|PM25|Non-fatal heart attacks", US_national_yearly!$D:$AM, 15, FALSE) / VLOOKUP("industry|PM25|Non-fatal heart attacks", US_national_yearly!$D:$AM, 10, FALSE), 1)</f>
        <v>7.4955717893275618E-4</v>
      </c>
      <c r="H13" s="7">
        <f>$B13 * IFERROR(VLOOKUP("industry|PM25|Non-fatal heart attacks", US_national_yearly!$D:$AM, 16, FALSE) / VLOOKUP("industry|PM25|Non-fatal heart attacks", US_national_yearly!$D:$AM, 10, FALSE), 1)</f>
        <v>7.6756488382408714E-4</v>
      </c>
      <c r="I13" s="7">
        <f>$B13 * IFERROR(VLOOKUP("industry|PM25|Non-fatal heart attacks", US_national_yearly!$D:$AM, 17, FALSE) / VLOOKUP("industry|PM25|Non-fatal heart attacks", US_national_yearly!$D:$AM, 10, FALSE), 1)</f>
        <v>7.8210627182917589E-4</v>
      </c>
      <c r="J13" s="7">
        <f>$B13 * IFERROR(VLOOKUP("industry|PM25|Non-fatal heart attacks", US_national_yearly!$D:$AM, 18, FALSE) / VLOOKUP("industry|PM25|Non-fatal heart attacks", US_national_yearly!$D:$AM, 10, FALSE), 1)</f>
        <v>7.9664765983426431E-4</v>
      </c>
      <c r="K13" s="7">
        <f>$B13 * IFERROR(VLOOKUP("industry|PM25|Non-fatal heart attacks", US_national_yearly!$D:$AM, 19, FALSE) / VLOOKUP("industry|PM25|Non-fatal heart attacks", US_national_yearly!$D:$AM, 10, FALSE), 1)</f>
        <v>8.1118904783935284E-4</v>
      </c>
      <c r="L13" s="7">
        <f>$B13 * IFERROR(VLOOKUP("industry|PM25|Non-fatal heart attacks", US_national_yearly!$D:$AM, 20, FALSE) / VLOOKUP("industry|PM25|Non-fatal heart attacks", US_national_yearly!$D:$AM, 10, FALSE), 1)</f>
        <v>8.2573043584444137E-4</v>
      </c>
      <c r="M13" s="7">
        <f>$B13 * IFERROR(VLOOKUP("industry|PM25|Non-fatal heart attacks", US_national_yearly!$D:$AM, 21, FALSE) / VLOOKUP("industry|PM25|Non-fatal heart attacks", US_national_yearly!$D:$AM, 10, FALSE), 1)</f>
        <v>8.402718238495299E-4</v>
      </c>
      <c r="N13" s="7">
        <f>$B13 * IFERROR(VLOOKUP("industry|PM25|Non-fatal heart attacks", US_national_yearly!$D:$AM, 22, FALSE) / VLOOKUP("industry|PM25|Non-fatal heart attacks", US_national_yearly!$D:$AM, 10, FALSE), 1)</f>
        <v>8.4967364101818364E-4</v>
      </c>
      <c r="O13" s="7">
        <f>$B13 * IFERROR(VLOOKUP("industry|PM25|Non-fatal heart attacks", US_national_yearly!$D:$AM, 23, FALSE) / VLOOKUP("industry|PM25|Non-fatal heart attacks", US_national_yearly!$D:$AM, 10, FALSE), 1)</f>
        <v>8.5907545818683726E-4</v>
      </c>
      <c r="P13" s="7">
        <f>$B13 * IFERROR(VLOOKUP("industry|PM25|Non-fatal heart attacks", US_national_yearly!$D:$AM, 24, FALSE) / VLOOKUP("industry|PM25|Non-fatal heart attacks", US_national_yearly!$D:$AM, 10, FALSE), 1)</f>
        <v>8.6847727535549089E-4</v>
      </c>
      <c r="Q13" s="7">
        <f>$B13 * IFERROR(VLOOKUP("industry|PM25|Non-fatal heart attacks", US_national_yearly!$D:$AM, 25, FALSE) / VLOOKUP("industry|PM25|Non-fatal heart attacks", US_national_yearly!$D:$AM, 10, FALSE), 1)</f>
        <v>8.7787909252414441E-4</v>
      </c>
      <c r="R13" s="7">
        <f>$B13 * IFERROR(VLOOKUP("industry|PM25|Non-fatal heart attacks", US_national_yearly!$D:$AM, 26, FALSE) / VLOOKUP("industry|PM25|Non-fatal heart attacks", US_national_yearly!$D:$AM, 10, FALSE), 1)</f>
        <v>8.8728090969279803E-4</v>
      </c>
      <c r="S13" s="7">
        <f>$B13 * IFERROR(VLOOKUP("industry|PM25|Non-fatal heart attacks", US_national_yearly!$D:$AM, 27, FALSE) / VLOOKUP("industry|PM25|Non-fatal heart attacks", US_national_yearly!$D:$AM, 10, FALSE), 1)</f>
        <v>8.9230245587216552E-4</v>
      </c>
      <c r="T13" s="7">
        <f>$B13 * IFERROR(VLOOKUP("industry|PM25|Non-fatal heart attacks", US_national_yearly!$D:$AM, 28, FALSE) / VLOOKUP("industry|PM25|Non-fatal heart attacks", US_national_yearly!$D:$AM, 10, FALSE), 1)</f>
        <v>8.9732400205153333E-4</v>
      </c>
      <c r="U13" s="7">
        <f>$B13 * IFERROR(VLOOKUP("industry|PM25|Non-fatal heart attacks", US_national_yearly!$D:$AM, 29, FALSE) / VLOOKUP("industry|PM25|Non-fatal heart attacks", US_national_yearly!$D:$AM, 10, FALSE), 1)</f>
        <v>9.0234554823090092E-4</v>
      </c>
      <c r="V13" s="7">
        <f>$B13 * IFERROR(VLOOKUP("industry|PM25|Non-fatal heart attacks", US_national_yearly!$D:$AM, 30, FALSE) / VLOOKUP("industry|PM25|Non-fatal heart attacks", US_national_yearly!$D:$AM, 10, FALSE), 1)</f>
        <v>9.0736709441026841E-4</v>
      </c>
      <c r="W13" s="7">
        <f>$B13 * IFERROR(VLOOKUP("industry|PM25|Non-fatal heart attacks", US_national_yearly!$D:$AM, 31, FALSE) / VLOOKUP("industry|PM25|Non-fatal heart attacks", US_national_yearly!$D:$AM, 10, FALSE), 1)</f>
        <v>9.1238864058963611E-4</v>
      </c>
      <c r="X13" s="7">
        <f>$B13 * IFERROR(VLOOKUP("industry|PM25|Non-fatal heart attacks", US_national_yearly!$D:$AM, 32, FALSE) / VLOOKUP("industry|PM25|Non-fatal heart attacks", US_national_yearly!$D:$AM, 10, FALSE), 1)</f>
        <v>9.1626423752588662E-4</v>
      </c>
      <c r="Y13" s="7">
        <f>$B13 * IFERROR(VLOOKUP("industry|PM25|Non-fatal heart attacks", US_national_yearly!$D:$AM, 33, FALSE) / VLOOKUP("industry|PM25|Non-fatal heart attacks", US_national_yearly!$D:$AM, 10, FALSE), 1)</f>
        <v>9.2013983446213702E-4</v>
      </c>
      <c r="Z13" s="7">
        <f>$B13 * IFERROR(VLOOKUP("industry|PM25|Non-fatal heart attacks", US_national_yearly!$D:$AM, 34, FALSE) / VLOOKUP("industry|PM25|Non-fatal heart attacks", US_national_yearly!$D:$AM, 10, FALSE), 1)</f>
        <v>9.2401543139838764E-4</v>
      </c>
      <c r="AA13" s="7">
        <f>$B13 * IFERROR(VLOOKUP("industry|PM25|Non-fatal heart attacks", US_national_yearly!$D:$AM, 35, FALSE) / VLOOKUP("industry|PM25|Non-fatal heart attacks", US_national_yearly!$D:$AM, 10, FALSE), 1)</f>
        <v>9.2789102833463815E-4</v>
      </c>
      <c r="AB13" s="7">
        <f>$B13 * IFERROR(VLOOKUP("industry|PM25|Non-fatal heart attacks", US_national_yearly!$D:$AM, 36, FALSE) / VLOOKUP("industry|PM25|Non-fatal heart attacks", US_national_yearly!$D:$AM, 10, FALSE), 1)</f>
        <v>9.3176662527088877E-4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0.55247179041817296</v>
      </c>
      <c r="C14" s="7">
        <f>$B14 * IFERROR(VLOOKUP("industry|PM25|Minor restricted activity days", US_national_yearly!$D:$AM, 11, FALSE) / VLOOKUP("industry|PM25|Minor restricted activity days", US_national_yearly!$D:$AM, 10, FALSE), 1)</f>
        <v>0.55382488540830122</v>
      </c>
      <c r="D14" s="7">
        <f>$B14 * IFERROR(VLOOKUP("industry|PM25|Minor restricted activity days", US_national_yearly!$D:$AM, 12, FALSE) / VLOOKUP("industry|PM25|Minor restricted activity days", US_national_yearly!$D:$AM, 10, FALSE), 1)</f>
        <v>0.55517798039842947</v>
      </c>
      <c r="E14" s="7">
        <f>$B14 * IFERROR(VLOOKUP("industry|PM25|Minor restricted activity days", US_national_yearly!$D:$AM, 13, FALSE) / VLOOKUP("industry|PM25|Minor restricted activity days", US_national_yearly!$D:$AM, 10, FALSE), 1)</f>
        <v>0.55653107538855773</v>
      </c>
      <c r="F14" s="7">
        <f>$B14 * IFERROR(VLOOKUP("industry|PM25|Minor restricted activity days", US_national_yearly!$D:$AM, 14, FALSE) / VLOOKUP("industry|PM25|Minor restricted activity days", US_national_yearly!$D:$AM, 10, FALSE), 1)</f>
        <v>0.55788417037868587</v>
      </c>
      <c r="G14" s="7">
        <f>$B14 * IFERROR(VLOOKUP("industry|PM25|Minor restricted activity days", US_national_yearly!$D:$AM, 15, FALSE) / VLOOKUP("industry|PM25|Minor restricted activity days", US_national_yearly!$D:$AM, 10, FALSE), 1)</f>
        <v>0.55987029390746657</v>
      </c>
      <c r="H14" s="7">
        <f>$B14 * IFERROR(VLOOKUP("industry|PM25|Minor restricted activity days", US_national_yearly!$D:$AM, 16, FALSE) / VLOOKUP("industry|PM25|Minor restricted activity days", US_national_yearly!$D:$AM, 10, FALSE), 1)</f>
        <v>0.56185641743624715</v>
      </c>
      <c r="I14" s="7">
        <f>$B14 * IFERROR(VLOOKUP("industry|PM25|Minor restricted activity days", US_national_yearly!$D:$AM, 17, FALSE) / VLOOKUP("industry|PM25|Minor restricted activity days", US_national_yearly!$D:$AM, 10, FALSE), 1)</f>
        <v>0.56523033062484229</v>
      </c>
      <c r="J14" s="7">
        <f>$B14 * IFERROR(VLOOKUP("industry|PM25|Minor restricted activity days", US_national_yearly!$D:$AM, 18, FALSE) / VLOOKUP("industry|PM25|Minor restricted activity days", US_national_yearly!$D:$AM, 10, FALSE), 1)</f>
        <v>0.56860424381343755</v>
      </c>
      <c r="K14" s="7">
        <f>$B14 * IFERROR(VLOOKUP("industry|PM25|Minor restricted activity days", US_national_yearly!$D:$AM, 19, FALSE) / VLOOKUP("industry|PM25|Minor restricted activity days", US_national_yearly!$D:$AM, 10, FALSE), 1)</f>
        <v>0.57197815700203258</v>
      </c>
      <c r="L14" s="7">
        <f>$B14 * IFERROR(VLOOKUP("industry|PM25|Minor restricted activity days", US_national_yearly!$D:$AM, 20, FALSE) / VLOOKUP("industry|PM25|Minor restricted activity days", US_national_yearly!$D:$AM, 10, FALSE), 1)</f>
        <v>0.57535207019062784</v>
      </c>
      <c r="M14" s="7">
        <f>$B14 * IFERROR(VLOOKUP("industry|PM25|Minor restricted activity days", US_national_yearly!$D:$AM, 21, FALSE) / VLOOKUP("industry|PM25|Minor restricted activity days", US_national_yearly!$D:$AM, 10, FALSE), 1)</f>
        <v>0.57872598337922299</v>
      </c>
      <c r="N14" s="7">
        <f>$B14 * IFERROR(VLOOKUP("industry|PM25|Minor restricted activity days", US_national_yearly!$D:$AM, 22, FALSE) / VLOOKUP("industry|PM25|Minor restricted activity days", US_national_yearly!$D:$AM, 10, FALSE), 1)</f>
        <v>0.58333508193817052</v>
      </c>
      <c r="O14" s="7">
        <f>$B14 * IFERROR(VLOOKUP("industry|PM25|Minor restricted activity days", US_national_yearly!$D:$AM, 23, FALSE) / VLOOKUP("industry|PM25|Minor restricted activity days", US_national_yearly!$D:$AM, 10, FALSE), 1)</f>
        <v>0.58794418049711861</v>
      </c>
      <c r="P14" s="7">
        <f>$B14 * IFERROR(VLOOKUP("industry|PM25|Minor restricted activity days", US_national_yearly!$D:$AM, 24, FALSE) / VLOOKUP("industry|PM25|Minor restricted activity days", US_national_yearly!$D:$AM, 10, FALSE), 1)</f>
        <v>0.59255327905606614</v>
      </c>
      <c r="Q14" s="7">
        <f>$B14 * IFERROR(VLOOKUP("industry|PM25|Minor restricted activity days", US_national_yearly!$D:$AM, 25, FALSE) / VLOOKUP("industry|PM25|Minor restricted activity days", US_national_yearly!$D:$AM, 10, FALSE), 1)</f>
        <v>0.59716237761501434</v>
      </c>
      <c r="R14" s="7">
        <f>$B14 * IFERROR(VLOOKUP("industry|PM25|Minor restricted activity days", US_national_yearly!$D:$AM, 26, FALSE) / VLOOKUP("industry|PM25|Minor restricted activity days", US_national_yearly!$D:$AM, 10, FALSE), 1)</f>
        <v>0.60177147617396187</v>
      </c>
      <c r="S14" s="7">
        <f>$B14 * IFERROR(VLOOKUP("industry|PM25|Minor restricted activity days", US_national_yearly!$D:$AM, 27, FALSE) / VLOOKUP("industry|PM25|Minor restricted activity days", US_national_yearly!$D:$AM, 10, FALSE), 1)</f>
        <v>0.60642482388168006</v>
      </c>
      <c r="T14" s="7">
        <f>$B14 * IFERROR(VLOOKUP("industry|PM25|Minor restricted activity days", US_national_yearly!$D:$AM, 28, FALSE) / VLOOKUP("industry|PM25|Minor restricted activity days", US_national_yearly!$D:$AM, 10, FALSE), 1)</f>
        <v>0.61107817158939837</v>
      </c>
      <c r="U14" s="7">
        <f>$B14 * IFERROR(VLOOKUP("industry|PM25|Minor restricted activity days", US_national_yearly!$D:$AM, 29, FALSE) / VLOOKUP("industry|PM25|Minor restricted activity days", US_national_yearly!$D:$AM, 10, FALSE), 1)</f>
        <v>0.61573151929711667</v>
      </c>
      <c r="V14" s="7">
        <f>$B14 * IFERROR(VLOOKUP("industry|PM25|Minor restricted activity days", US_national_yearly!$D:$AM, 30, FALSE) / VLOOKUP("industry|PM25|Minor restricted activity days", US_national_yearly!$D:$AM, 10, FALSE), 1)</f>
        <v>0.62038486700483486</v>
      </c>
      <c r="W14" s="7">
        <f>$B14 * IFERROR(VLOOKUP("industry|PM25|Minor restricted activity days", US_national_yearly!$D:$AM, 31, FALSE) / VLOOKUP("industry|PM25|Minor restricted activity days", US_national_yearly!$D:$AM, 10, FALSE), 1)</f>
        <v>0.62503821471255316</v>
      </c>
      <c r="X14" s="7">
        <f>$B14 * IFERROR(VLOOKUP("industry|PM25|Minor restricted activity days", US_national_yearly!$D:$AM, 32, FALSE) / VLOOKUP("industry|PM25|Minor restricted activity days", US_national_yearly!$D:$AM, 10, FALSE), 1)</f>
        <v>0.62908180345110387</v>
      </c>
      <c r="Y14" s="7">
        <f>$B14 * IFERROR(VLOOKUP("industry|PM25|Minor restricted activity days", US_national_yearly!$D:$AM, 33, FALSE) / VLOOKUP("industry|PM25|Minor restricted activity days", US_national_yearly!$D:$AM, 10, FALSE), 1)</f>
        <v>0.63312539218965469</v>
      </c>
      <c r="Z14" s="7">
        <f>$B14 * IFERROR(VLOOKUP("industry|PM25|Minor restricted activity days", US_national_yearly!$D:$AM, 34, FALSE) / VLOOKUP("industry|PM25|Minor restricted activity days", US_national_yearly!$D:$AM, 10, FALSE), 1)</f>
        <v>0.63716898092820551</v>
      </c>
      <c r="AA14" s="7">
        <f>$B14 * IFERROR(VLOOKUP("industry|PM25|Minor restricted activity days", US_national_yearly!$D:$AM, 35, FALSE) / VLOOKUP("industry|PM25|Minor restricted activity days", US_national_yearly!$D:$AM, 10, FALSE), 1)</f>
        <v>0.64121256966675633</v>
      </c>
      <c r="AB14" s="7">
        <f>$B14 * IFERROR(VLOOKUP("industry|PM25|Minor restricted activity days", US_national_yearly!$D:$AM, 36, FALSE) / VLOOKUP("industry|PM25|Minor restricted activity days", US_national_yearly!$D:$AM, 10, FALSE), 1)</f>
        <v>0.64525615840530715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9.3777960051013701E-2</v>
      </c>
      <c r="C15" s="7">
        <f>$B15 * IFERROR(VLOOKUP("industry|PM25|Work loss days", US_national_yearly!$D:$AM, 11, FALSE) / VLOOKUP("industry|PM25|Work loss days", US_national_yearly!$D:$AM, 10, FALSE), 1)</f>
        <v>9.4068709378977391E-2</v>
      </c>
      <c r="D15" s="7">
        <f>$B15 * IFERROR(VLOOKUP("industry|PM25|Work loss days", US_national_yearly!$D:$AM, 12, FALSE) / VLOOKUP("industry|PM25|Work loss days", US_national_yearly!$D:$AM, 10, FALSE), 1)</f>
        <v>9.4359458706941082E-2</v>
      </c>
      <c r="E15" s="7">
        <f>$B15 * IFERROR(VLOOKUP("industry|PM25|Work loss days", US_national_yearly!$D:$AM, 13, FALSE) / VLOOKUP("industry|PM25|Work loss days", US_national_yearly!$D:$AM, 10, FALSE), 1)</f>
        <v>9.4650208034904745E-2</v>
      </c>
      <c r="F15" s="7">
        <f>$B15 * IFERROR(VLOOKUP("industry|PM25|Work loss days", US_national_yearly!$D:$AM, 14, FALSE) / VLOOKUP("industry|PM25|Work loss days", US_national_yearly!$D:$AM, 10, FALSE), 1)</f>
        <v>9.4940957362868436E-2</v>
      </c>
      <c r="G15" s="7">
        <f>$B15 * IFERROR(VLOOKUP("industry|PM25|Work loss days", US_national_yearly!$D:$AM, 15, FALSE) / VLOOKUP("industry|PM25|Work loss days", US_national_yearly!$D:$AM, 10, FALSE), 1)</f>
        <v>9.5320543340938368E-2</v>
      </c>
      <c r="H15" s="7">
        <f>$B15 * IFERROR(VLOOKUP("industry|PM25|Work loss days", US_national_yearly!$D:$AM, 16, FALSE) / VLOOKUP("industry|PM25|Work loss days", US_national_yearly!$D:$AM, 10, FALSE), 1)</f>
        <v>9.5700129319008301E-2</v>
      </c>
      <c r="I15" s="7">
        <f>$B15 * IFERROR(VLOOKUP("industry|PM25|Work loss days", US_national_yearly!$D:$AM, 17, FALSE) / VLOOKUP("industry|PM25|Work loss days", US_national_yearly!$D:$AM, 10, FALSE), 1)</f>
        <v>9.6255963999385019E-2</v>
      </c>
      <c r="J15" s="7">
        <f>$B15 * IFERROR(VLOOKUP("industry|PM25|Work loss days", US_national_yearly!$D:$AM, 18, FALSE) / VLOOKUP("industry|PM25|Work loss days", US_national_yearly!$D:$AM, 10, FALSE), 1)</f>
        <v>9.6811798679761751E-2</v>
      </c>
      <c r="K15" s="7">
        <f>$B15 * IFERROR(VLOOKUP("industry|PM25|Work loss days", US_national_yearly!$D:$AM, 19, FALSE) / VLOOKUP("industry|PM25|Work loss days", US_national_yearly!$D:$AM, 10, FALSE), 1)</f>
        <v>9.7367633360138456E-2</v>
      </c>
      <c r="L15" s="7">
        <f>$B15 * IFERROR(VLOOKUP("industry|PM25|Work loss days", US_national_yearly!$D:$AM, 20, FALSE) / VLOOKUP("industry|PM25|Work loss days", US_national_yearly!$D:$AM, 10, FALSE), 1)</f>
        <v>9.7923468040515188E-2</v>
      </c>
      <c r="M15" s="7">
        <f>$B15 * IFERROR(VLOOKUP("industry|PM25|Work loss days", US_national_yearly!$D:$AM, 21, FALSE) / VLOOKUP("industry|PM25|Work loss days", US_national_yearly!$D:$AM, 10, FALSE), 1)</f>
        <v>9.8479302720891906E-2</v>
      </c>
      <c r="N15" s="7">
        <f>$B15 * IFERROR(VLOOKUP("industry|PM25|Work loss days", US_national_yearly!$D:$AM, 22, FALSE) / VLOOKUP("industry|PM25|Work loss days", US_national_yearly!$D:$AM, 10, FALSE), 1)</f>
        <v>9.9180693129842165E-2</v>
      </c>
      <c r="O15" s="7">
        <f>$B15 * IFERROR(VLOOKUP("industry|PM25|Work loss days", US_national_yearly!$D:$AM, 23, FALSE) / VLOOKUP("industry|PM25|Work loss days", US_national_yearly!$D:$AM, 10, FALSE), 1)</f>
        <v>9.9882083538792424E-2</v>
      </c>
      <c r="P15" s="7">
        <f>$B15 * IFERROR(VLOOKUP("industry|PM25|Work loss days", US_national_yearly!$D:$AM, 24, FALSE) / VLOOKUP("industry|PM25|Work loss days", US_national_yearly!$D:$AM, 10, FALSE), 1)</f>
        <v>0.10058347394774265</v>
      </c>
      <c r="Q15" s="7">
        <f>$B15 * IFERROR(VLOOKUP("industry|PM25|Work loss days", US_national_yearly!$D:$AM, 25, FALSE) / VLOOKUP("industry|PM25|Work loss days", US_national_yearly!$D:$AM, 10, FALSE), 1)</f>
        <v>0.10128486435669291</v>
      </c>
      <c r="R15" s="7">
        <f>$B15 * IFERROR(VLOOKUP("industry|PM25|Work loss days", US_national_yearly!$D:$AM, 26, FALSE) / VLOOKUP("industry|PM25|Work loss days", US_national_yearly!$D:$AM, 10, FALSE), 1)</f>
        <v>0.10198625476564314</v>
      </c>
      <c r="S15" s="7">
        <f>$B15 * IFERROR(VLOOKUP("industry|PM25|Work loss days", US_national_yearly!$D:$AM, 27, FALSE) / VLOOKUP("industry|PM25|Work loss days", US_national_yearly!$D:$AM, 10, FALSE), 1)</f>
        <v>0.10276399729411999</v>
      </c>
      <c r="T15" s="7">
        <f>$B15 * IFERROR(VLOOKUP("industry|PM25|Work loss days", US_national_yearly!$D:$AM, 28, FALSE) / VLOOKUP("industry|PM25|Work loss days", US_national_yearly!$D:$AM, 10, FALSE), 1)</f>
        <v>0.10354173982259683</v>
      </c>
      <c r="U15" s="7">
        <f>$B15 * IFERROR(VLOOKUP("industry|PM25|Work loss days", US_national_yearly!$D:$AM, 29, FALSE) / VLOOKUP("industry|PM25|Work loss days", US_national_yearly!$D:$AM, 10, FALSE), 1)</f>
        <v>0.10431948235107366</v>
      </c>
      <c r="V15" s="7">
        <f>$B15 * IFERROR(VLOOKUP("industry|PM25|Work loss days", US_national_yearly!$D:$AM, 30, FALSE) / VLOOKUP("industry|PM25|Work loss days", US_national_yearly!$D:$AM, 10, FALSE), 1)</f>
        <v>0.10509722487955049</v>
      </c>
      <c r="W15" s="7">
        <f>$B15 * IFERROR(VLOOKUP("industry|PM25|Work loss days", US_national_yearly!$D:$AM, 31, FALSE) / VLOOKUP("industry|PM25|Work loss days", US_national_yearly!$D:$AM, 10, FALSE), 1)</f>
        <v>0.10587496740802735</v>
      </c>
      <c r="X15" s="7">
        <f>$B15 * IFERROR(VLOOKUP("industry|PM25|Work loss days", US_national_yearly!$D:$AM, 32, FALSE) / VLOOKUP("industry|PM25|Work loss days", US_national_yearly!$D:$AM, 10, FALSE), 1)</f>
        <v>0.10656609390997411</v>
      </c>
      <c r="Y15" s="7">
        <f>$B15 * IFERROR(VLOOKUP("industry|PM25|Work loss days", US_national_yearly!$D:$AM, 33, FALSE) / VLOOKUP("industry|PM25|Work loss days", US_national_yearly!$D:$AM, 10, FALSE), 1)</f>
        <v>0.1072572204119209</v>
      </c>
      <c r="Z15" s="7">
        <f>$B15 * IFERROR(VLOOKUP("industry|PM25|Work loss days", US_national_yearly!$D:$AM, 34, FALSE) / VLOOKUP("industry|PM25|Work loss days", US_national_yearly!$D:$AM, 10, FALSE), 1)</f>
        <v>0.10794834691386769</v>
      </c>
      <c r="AA15" s="7">
        <f>$B15 * IFERROR(VLOOKUP("industry|PM25|Work loss days", US_national_yearly!$D:$AM, 35, FALSE) / VLOOKUP("industry|PM25|Work loss days", US_national_yearly!$D:$AM, 10, FALSE), 1)</f>
        <v>0.10863947341581447</v>
      </c>
      <c r="AB15" s="7">
        <f>$B15 * IFERROR(VLOOKUP("industry|PM25|Work loss days", US_national_yearly!$D:$AM, 36, FALSE) / VLOOKUP("industry|PM25|Work loss days", US_national_yearly!$D:$AM, 10, FALSE), 1)</f>
        <v>0.10933059991776126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1.4817929356230301E-4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1.5261143123353568E-4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1.5704356890476834E-4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1.61475706576001E-4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1.6590784424723361E-4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1.7015572874232697E-4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1.7440361323742024E-4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1.78050794337195E-4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1.816979754369697E-4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1.8534515653674449E-4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1.8899233763651922E-4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1.9263951873629395E-4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1.9507584946135533E-4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1.975121801864166E-4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1.9994851091147792E-4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2.0238484163653925E-4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2.0482117236160057E-4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2.0612649928175149E-4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2.0743182620190238E-4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2.0873715312205333E-4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2.1004248004220419E-4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2.1134780696235511E-4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2.1224416785200714E-4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2.1314052874165911E-4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2.140368896313111E-4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2.1493325052096305E-4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2.1582961141061504E-4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1.4629848238185774E-3</v>
      </c>
      <c r="C2" s="7">
        <f>$B2 * IFERROR(VLOOKUP("industry|NOx|Premature mortality", US_national_yearly!$D:$AM, 11, FALSE) / VLOOKUP("industry|NOx|Premature mortality", US_national_yearly!$D:$AM, 10, FALSE), 1)</f>
        <v>1.4846175964063548E-3</v>
      </c>
      <c r="D2" s="7">
        <f>$B2 * IFERROR(VLOOKUP("industry|NOx|Premature mortality", US_national_yearly!$D:$AM, 12, FALSE) / VLOOKUP("industry|NOx|Premature mortality", US_national_yearly!$D:$AM, 10, FALSE), 1)</f>
        <v>1.5062503689941326E-3</v>
      </c>
      <c r="E2" s="7">
        <f>$B2 * IFERROR(VLOOKUP("industry|NOx|Premature mortality", US_national_yearly!$D:$AM, 13, FALSE) / VLOOKUP("industry|NOx|Premature mortality", US_national_yearly!$D:$AM, 10, FALSE), 1)</f>
        <v>1.5278831415819101E-3</v>
      </c>
      <c r="F2" s="7">
        <f>$B2 * IFERROR(VLOOKUP("industry|NOx|Premature mortality", US_national_yearly!$D:$AM, 14, FALSE) / VLOOKUP("industry|NOx|Premature mortality", US_national_yearly!$D:$AM, 10, FALSE), 1)</f>
        <v>1.5495159141696879E-3</v>
      </c>
      <c r="G2" s="7">
        <f>$B2 * IFERROR(VLOOKUP("industry|NOx|Premature mortality", US_national_yearly!$D:$AM, 15, FALSE) / VLOOKUP("industry|NOx|Premature mortality", US_national_yearly!$D:$AM, 10, FALSE), 1)</f>
        <v>1.5883115765141374E-3</v>
      </c>
      <c r="H2" s="7">
        <f>$B2 * IFERROR(VLOOKUP("industry|NOx|Premature mortality", US_national_yearly!$D:$AM, 16, FALSE) / VLOOKUP("industry|NOx|Premature mortality", US_national_yearly!$D:$AM, 10, FALSE), 1)</f>
        <v>1.6271072388585872E-3</v>
      </c>
      <c r="I2" s="7">
        <f>$B2 * IFERROR(VLOOKUP("industry|NOx|Premature mortality", US_national_yearly!$D:$AM, 17, FALSE) / VLOOKUP("industry|NOx|Premature mortality", US_national_yearly!$D:$AM, 10, FALSE), 1)</f>
        <v>1.6522752904364151E-3</v>
      </c>
      <c r="J2" s="7">
        <f>$B2 * IFERROR(VLOOKUP("industry|NOx|Premature mortality", US_national_yearly!$D:$AM, 18, FALSE) / VLOOKUP("industry|NOx|Premature mortality", US_national_yearly!$D:$AM, 10, FALSE), 1)</f>
        <v>1.6774433420142431E-3</v>
      </c>
      <c r="K2" s="7">
        <f>$B2 * IFERROR(VLOOKUP("industry|NOx|Premature mortality", US_national_yearly!$D:$AM, 19, FALSE) / VLOOKUP("industry|NOx|Premature mortality", US_national_yearly!$D:$AM, 10, FALSE), 1)</f>
        <v>1.7026113935920714E-3</v>
      </c>
      <c r="L2" s="7">
        <f>$B2 * IFERROR(VLOOKUP("industry|NOx|Premature mortality", US_national_yearly!$D:$AM, 20, FALSE) / VLOOKUP("industry|NOx|Premature mortality", US_national_yearly!$D:$AM, 10, FALSE), 1)</f>
        <v>1.7277794451698995E-3</v>
      </c>
      <c r="M2" s="7">
        <f>$B2 * IFERROR(VLOOKUP("industry|NOx|Premature mortality", US_national_yearly!$D:$AM, 21, FALSE) / VLOOKUP("industry|NOx|Premature mortality", US_national_yearly!$D:$AM, 10, FALSE), 1)</f>
        <v>1.7529474967477273E-3</v>
      </c>
      <c r="N2" s="7">
        <f>$B2 * IFERROR(VLOOKUP("industry|NOx|Premature mortality", US_national_yearly!$D:$AM, 22, FALSE) / VLOOKUP("industry|NOx|Premature mortality", US_national_yearly!$D:$AM, 10, FALSE), 1)</f>
        <v>1.7716758113119312E-3</v>
      </c>
      <c r="O2" s="7">
        <f>$B2 * IFERROR(VLOOKUP("industry|NOx|Premature mortality", US_national_yearly!$D:$AM, 23, FALSE) / VLOOKUP("industry|NOx|Premature mortality", US_national_yearly!$D:$AM, 10, FALSE), 1)</f>
        <v>1.7904041258761348E-3</v>
      </c>
      <c r="P2" s="7">
        <f>$B2 * IFERROR(VLOOKUP("industry|NOx|Premature mortality", US_national_yearly!$D:$AM, 24, FALSE) / VLOOKUP("industry|NOx|Premature mortality", US_national_yearly!$D:$AM, 10, FALSE), 1)</f>
        <v>1.809132440440338E-3</v>
      </c>
      <c r="Q2" s="7">
        <f>$B2 * IFERROR(VLOOKUP("industry|NOx|Premature mortality", US_national_yearly!$D:$AM, 25, FALSE) / VLOOKUP("industry|NOx|Premature mortality", US_national_yearly!$D:$AM, 10, FALSE), 1)</f>
        <v>1.8278607550045415E-3</v>
      </c>
      <c r="R2" s="7">
        <f>$B2 * IFERROR(VLOOKUP("industry|NOx|Premature mortality", US_national_yearly!$D:$AM, 26, FALSE) / VLOOKUP("industry|NOx|Premature mortality", US_national_yearly!$D:$AM, 10, FALSE), 1)</f>
        <v>1.8465890695687451E-3</v>
      </c>
      <c r="S2" s="7">
        <f>$B2 * IFERROR(VLOOKUP("industry|NOx|Premature mortality", US_national_yearly!$D:$AM, 27, FALSE) / VLOOKUP("industry|NOx|Premature mortality", US_national_yearly!$D:$AM, 10, FALSE), 1)</f>
        <v>1.8553101035417711E-3</v>
      </c>
      <c r="T2" s="7">
        <f>$B2 * IFERROR(VLOOKUP("industry|NOx|Premature mortality", US_national_yearly!$D:$AM, 28, FALSE) / VLOOKUP("industry|NOx|Premature mortality", US_national_yearly!$D:$AM, 10, FALSE), 1)</f>
        <v>1.864031137514797E-3</v>
      </c>
      <c r="U2" s="7">
        <f>$B2 * IFERROR(VLOOKUP("industry|NOx|Premature mortality", US_national_yearly!$D:$AM, 29, FALSE) / VLOOKUP("industry|NOx|Premature mortality", US_national_yearly!$D:$AM, 10, FALSE), 1)</f>
        <v>1.872752171487823E-3</v>
      </c>
      <c r="V2" s="7">
        <f>$B2 * IFERROR(VLOOKUP("industry|NOx|Premature mortality", US_national_yearly!$D:$AM, 30, FALSE) / VLOOKUP("industry|NOx|Premature mortality", US_national_yearly!$D:$AM, 10, FALSE), 1)</f>
        <v>1.8814732054608489E-3</v>
      </c>
      <c r="W2" s="7">
        <f>$B2 * IFERROR(VLOOKUP("industry|NOx|Premature mortality", US_national_yearly!$D:$AM, 31, FALSE) / VLOOKUP("industry|NOx|Premature mortality", US_national_yearly!$D:$AM, 10, FALSE), 1)</f>
        <v>1.8901942394338744E-3</v>
      </c>
      <c r="X2" s="7">
        <f>$B2 * IFERROR(VLOOKUP("industry|NOx|Premature mortality", US_national_yearly!$D:$AM, 32, FALSE) / VLOOKUP("industry|NOx|Premature mortality", US_national_yearly!$D:$AM, 10, FALSE), 1)</f>
        <v>1.8908607287414969E-3</v>
      </c>
      <c r="Y2" s="7">
        <f>$B2 * IFERROR(VLOOKUP("industry|NOx|Premature mortality", US_national_yearly!$D:$AM, 33, FALSE) / VLOOKUP("industry|NOx|Premature mortality", US_national_yearly!$D:$AM, 10, FALSE), 1)</f>
        <v>1.8915272180491192E-3</v>
      </c>
      <c r="Z2" s="7">
        <f>$B2 * IFERROR(VLOOKUP("industry|NOx|Premature mortality", US_national_yearly!$D:$AM, 34, FALSE) / VLOOKUP("industry|NOx|Premature mortality", US_national_yearly!$D:$AM, 10, FALSE), 1)</f>
        <v>1.8921937073567417E-3</v>
      </c>
      <c r="AA2" s="7">
        <f>$B2 * IFERROR(VLOOKUP("industry|NOx|Premature mortality", US_national_yearly!$D:$AM, 35, FALSE) / VLOOKUP("industry|NOx|Premature mortality", US_national_yearly!$D:$AM, 10, FALSE), 1)</f>
        <v>1.8928601966643642E-3</v>
      </c>
      <c r="AB2" s="7">
        <f>$B2 * IFERROR(VLOOKUP("industry|NOx|Premature mortality", US_national_yearly!$D:$AM, 36, FALSE) / VLOOKUP("industry|NOx|Premature mortality", US_national_yearly!$D:$AM, 10, FALSE), 1)</f>
        <v>1.8935266859719864E-3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3.1943062996605444E-6</v>
      </c>
      <c r="C3" s="7">
        <f>$B3 * IFERROR(VLOOKUP("industry|NOx|Infant mortality", US_national_yearly!$D:$AM, 11, FALSE) / VLOOKUP("industry|NOx|Infant mortality", US_national_yearly!$D:$AM, 10, FALSE), 1)</f>
        <v>3.1637149635374242E-6</v>
      </c>
      <c r="D3" s="7">
        <f>$B3 * IFERROR(VLOOKUP("industry|NOx|Infant mortality", US_national_yearly!$D:$AM, 12, FALSE) / VLOOKUP("industry|NOx|Infant mortality", US_national_yearly!$D:$AM, 10, FALSE), 1)</f>
        <v>3.1331236274143037E-6</v>
      </c>
      <c r="E3" s="7">
        <f>$B3 * IFERROR(VLOOKUP("industry|NOx|Infant mortality", US_national_yearly!$D:$AM, 13, FALSE) / VLOOKUP("industry|NOx|Infant mortality", US_national_yearly!$D:$AM, 10, FALSE), 1)</f>
        <v>3.1025322912911831E-6</v>
      </c>
      <c r="F3" s="7">
        <f>$B3 * IFERROR(VLOOKUP("industry|NOx|Infant mortality", US_national_yearly!$D:$AM, 14, FALSE) / VLOOKUP("industry|NOx|Infant mortality", US_national_yearly!$D:$AM, 10, FALSE), 1)</f>
        <v>3.0719409551680625E-6</v>
      </c>
      <c r="G3" s="7">
        <f>$B3 * IFERROR(VLOOKUP("industry|NOx|Infant mortality", US_national_yearly!$D:$AM, 15, FALSE) / VLOOKUP("industry|NOx|Infant mortality", US_national_yearly!$D:$AM, 10, FALSE), 1)</f>
        <v>2.037582296010371E-6</v>
      </c>
      <c r="H3" s="7">
        <f>$B3 * IFERROR(VLOOKUP("industry|NOx|Infant mortality", US_national_yearly!$D:$AM, 16, FALSE) / VLOOKUP("industry|NOx|Infant mortality", US_national_yearly!$D:$AM, 10, FALSE), 1)</f>
        <v>1.0032236368526799E-6</v>
      </c>
      <c r="I3" s="7">
        <f>$B3 * IFERROR(VLOOKUP("industry|NOx|Infant mortality", US_national_yearly!$D:$AM, 17, FALSE) / VLOOKUP("industry|NOx|Infant mortality", US_national_yearly!$D:$AM, 10, FALSE), 1)</f>
        <v>9.9599082758586087E-7</v>
      </c>
      <c r="J3" s="7">
        <f>$B3 * IFERROR(VLOOKUP("industry|NOx|Infant mortality", US_national_yearly!$D:$AM, 18, FALSE) / VLOOKUP("industry|NOx|Infant mortality", US_national_yearly!$D:$AM, 10, FALSE), 1)</f>
        <v>9.8875801831904187E-7</v>
      </c>
      <c r="K3" s="7">
        <f>$B3 * IFERROR(VLOOKUP("industry|NOx|Infant mortality", US_national_yearly!$D:$AM, 19, FALSE) / VLOOKUP("industry|NOx|Infant mortality", US_national_yearly!$D:$AM, 10, FALSE), 1)</f>
        <v>9.8152520905222288E-7</v>
      </c>
      <c r="L3" s="7">
        <f>$B3 * IFERROR(VLOOKUP("industry|NOx|Infant mortality", US_national_yearly!$D:$AM, 20, FALSE) / VLOOKUP("industry|NOx|Infant mortality", US_national_yearly!$D:$AM, 10, FALSE), 1)</f>
        <v>9.7429239978540367E-7</v>
      </c>
      <c r="M3" s="7">
        <f>$B3 * IFERROR(VLOOKUP("industry|NOx|Infant mortality", US_national_yearly!$D:$AM, 21, FALSE) / VLOOKUP("industry|NOx|Infant mortality", US_national_yearly!$D:$AM, 10, FALSE), 1)</f>
        <v>9.6705959051858446E-7</v>
      </c>
      <c r="N3" s="7">
        <f>$B3 * IFERROR(VLOOKUP("industry|NOx|Infant mortality", US_national_yearly!$D:$AM, 22, FALSE) / VLOOKUP("industry|NOx|Infant mortality", US_national_yearly!$D:$AM, 10, FALSE), 1)</f>
        <v>9.6218644988465196E-7</v>
      </c>
      <c r="O3" s="7">
        <f>$B3 * IFERROR(VLOOKUP("industry|NOx|Infant mortality", US_national_yearly!$D:$AM, 23, FALSE) / VLOOKUP("industry|NOx|Infant mortality", US_national_yearly!$D:$AM, 10, FALSE), 1)</f>
        <v>9.5731330925071903E-7</v>
      </c>
      <c r="P3" s="7">
        <f>$B3 * IFERROR(VLOOKUP("industry|NOx|Infant mortality", US_national_yearly!$D:$AM, 24, FALSE) / VLOOKUP("industry|NOx|Infant mortality", US_national_yearly!$D:$AM, 10, FALSE), 1)</f>
        <v>9.5244016861678631E-7</v>
      </c>
      <c r="Q3" s="7">
        <f>$B3 * IFERROR(VLOOKUP("industry|NOx|Infant mortality", US_national_yearly!$D:$AM, 25, FALSE) / VLOOKUP("industry|NOx|Infant mortality", US_national_yearly!$D:$AM, 10, FALSE), 1)</f>
        <v>9.4756702798285359E-7</v>
      </c>
      <c r="R3" s="7">
        <f>$B3 * IFERROR(VLOOKUP("industry|NOx|Infant mortality", US_national_yearly!$D:$AM, 26, FALSE) / VLOOKUP("industry|NOx|Infant mortality", US_national_yearly!$D:$AM, 10, FALSE), 1)</f>
        <v>9.4269388734892087E-7</v>
      </c>
      <c r="S3" s="7">
        <f>$B3 * IFERROR(VLOOKUP("industry|NOx|Infant mortality", US_national_yearly!$D:$AM, 27, FALSE) / VLOOKUP("industry|NOx|Infant mortality", US_national_yearly!$D:$AM, 10, FALSE), 1)</f>
        <v>9.3690711996850252E-7</v>
      </c>
      <c r="T3" s="7">
        <f>$B3 * IFERROR(VLOOKUP("industry|NOx|Infant mortality", US_national_yearly!$D:$AM, 28, FALSE) / VLOOKUP("industry|NOx|Infant mortality", US_national_yearly!$D:$AM, 10, FALSE), 1)</f>
        <v>9.3112035258808417E-7</v>
      </c>
      <c r="U3" s="7">
        <f>$B3 * IFERROR(VLOOKUP("industry|NOx|Infant mortality", US_national_yearly!$D:$AM, 29, FALSE) / VLOOKUP("industry|NOx|Infant mortality", US_national_yearly!$D:$AM, 10, FALSE), 1)</f>
        <v>9.2533358520766582E-7</v>
      </c>
      <c r="V3" s="7">
        <f>$B3 * IFERROR(VLOOKUP("industry|NOx|Infant mortality", US_national_yearly!$D:$AM, 30, FALSE) / VLOOKUP("industry|NOx|Infant mortality", US_national_yearly!$D:$AM, 10, FALSE), 1)</f>
        <v>9.1954681782724736E-7</v>
      </c>
      <c r="W3" s="7">
        <f>$B3 * IFERROR(VLOOKUP("industry|NOx|Infant mortality", US_national_yearly!$D:$AM, 31, FALSE) / VLOOKUP("industry|NOx|Infant mortality", US_national_yearly!$D:$AM, 10, FALSE), 1)</f>
        <v>9.1376005044682922E-7</v>
      </c>
      <c r="X3" s="7">
        <f>$B3 * IFERROR(VLOOKUP("industry|NOx|Infant mortality", US_national_yearly!$D:$AM, 32, FALSE) / VLOOKUP("industry|NOx|Infant mortality", US_national_yearly!$D:$AM, 10, FALSE), 1)</f>
        <v>9.0768330393979841E-7</v>
      </c>
      <c r="Y3" s="7">
        <f>$B3 * IFERROR(VLOOKUP("industry|NOx|Infant mortality", US_national_yearly!$D:$AM, 33, FALSE) / VLOOKUP("industry|NOx|Infant mortality", US_national_yearly!$D:$AM, 10, FALSE), 1)</f>
        <v>9.0160655743276792E-7</v>
      </c>
      <c r="Z3" s="7">
        <f>$B3 * IFERROR(VLOOKUP("industry|NOx|Infant mortality", US_national_yearly!$D:$AM, 34, FALSE) / VLOOKUP("industry|NOx|Infant mortality", US_national_yearly!$D:$AM, 10, FALSE), 1)</f>
        <v>8.9552981092573731E-7</v>
      </c>
      <c r="AA3" s="7">
        <f>$B3 * IFERROR(VLOOKUP("industry|NOx|Infant mortality", US_national_yearly!$D:$AM, 35, FALSE) / VLOOKUP("industry|NOx|Infant mortality", US_national_yearly!$D:$AM, 10, FALSE), 1)</f>
        <v>8.8945306441870682E-7</v>
      </c>
      <c r="AB3" s="7">
        <f>$B3 * IFERROR(VLOOKUP("industry|NOx|Infant mortality", US_national_yearly!$D:$AM, 36, FALSE) / VLOOKUP("industry|NOx|Infant mortality", US_national_yearly!$D:$AM, 10, FALSE), 1)</f>
        <v>8.8337631791167622E-7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3.6198681287924568E-3</v>
      </c>
      <c r="C6" s="7">
        <f>$B6 * IFERROR(VLOOKUP("industry|NOx|Asthma symptoms cough", US_national_yearly!$D:$AM, 11, FALSE) / VLOOKUP("industry|NOx|Asthma symptoms cough", US_national_yearly!$D:$AM, 10, FALSE), 1)</f>
        <v>3.6693891530808777E-3</v>
      </c>
      <c r="D6" s="7">
        <f>$B6 * IFERROR(VLOOKUP("industry|NOx|Asthma symptoms cough", US_national_yearly!$D:$AM, 12, FALSE) / VLOOKUP("industry|NOx|Asthma symptoms cough", US_national_yearly!$D:$AM, 10, FALSE), 1)</f>
        <v>3.7189101773692987E-3</v>
      </c>
      <c r="E6" s="7">
        <f>$B6 * IFERROR(VLOOKUP("industry|NOx|Asthma symptoms cough", US_national_yearly!$D:$AM, 13, FALSE) / VLOOKUP("industry|NOx|Asthma symptoms cough", US_national_yearly!$D:$AM, 10, FALSE), 1)</f>
        <v>3.7684312016577196E-3</v>
      </c>
      <c r="F6" s="7">
        <f>$B6 * IFERROR(VLOOKUP("industry|NOx|Asthma symptoms cough", US_national_yearly!$D:$AM, 14, FALSE) / VLOOKUP("industry|NOx|Asthma symptoms cough", US_national_yearly!$D:$AM, 10, FALSE), 1)</f>
        <v>3.8179522259461406E-3</v>
      </c>
      <c r="G6" s="7">
        <f>$B6 * IFERROR(VLOOKUP("industry|NOx|Asthma symptoms cough", US_national_yearly!$D:$AM, 15, FALSE) / VLOOKUP("industry|NOx|Asthma symptoms cough", US_national_yearly!$D:$AM, 10, FALSE), 1)</f>
        <v>3.8576604048600935E-3</v>
      </c>
      <c r="H6" s="7">
        <f>$B6 * IFERROR(VLOOKUP("industry|NOx|Asthma symptoms cough", US_national_yearly!$D:$AM, 16, FALSE) / VLOOKUP("industry|NOx|Asthma symptoms cough", US_national_yearly!$D:$AM, 10, FALSE), 1)</f>
        <v>3.8973685837740473E-3</v>
      </c>
      <c r="I6" s="7">
        <f>$B6 * IFERROR(VLOOKUP("industry|NOx|Asthma symptoms cough", US_national_yearly!$D:$AM, 17, FALSE) / VLOOKUP("industry|NOx|Asthma symptoms cough", US_national_yearly!$D:$AM, 10, FALSE), 1)</f>
        <v>3.9111873820517652E-3</v>
      </c>
      <c r="J6" s="7">
        <f>$B6 * IFERROR(VLOOKUP("industry|NOx|Asthma symptoms cough", US_national_yearly!$D:$AM, 18, FALSE) / VLOOKUP("industry|NOx|Asthma symptoms cough", US_national_yearly!$D:$AM, 10, FALSE), 1)</f>
        <v>3.925006180329484E-3</v>
      </c>
      <c r="K6" s="7">
        <f>$B6 * IFERROR(VLOOKUP("industry|NOx|Asthma symptoms cough", US_national_yearly!$D:$AM, 19, FALSE) / VLOOKUP("industry|NOx|Asthma symptoms cough", US_national_yearly!$D:$AM, 10, FALSE), 1)</f>
        <v>3.9388249786072018E-3</v>
      </c>
      <c r="L6" s="7">
        <f>$B6 * IFERROR(VLOOKUP("industry|NOx|Asthma symptoms cough", US_national_yearly!$D:$AM, 20, FALSE) / VLOOKUP("industry|NOx|Asthma symptoms cough", US_national_yearly!$D:$AM, 10, FALSE), 1)</f>
        <v>3.9526437768849197E-3</v>
      </c>
      <c r="M6" s="7">
        <f>$B6 * IFERROR(VLOOKUP("industry|NOx|Asthma symptoms cough", US_national_yearly!$D:$AM, 21, FALSE) / VLOOKUP("industry|NOx|Asthma symptoms cough", US_national_yearly!$D:$AM, 10, FALSE), 1)</f>
        <v>3.9664625751626385E-3</v>
      </c>
      <c r="N6" s="7">
        <f>$B6 * IFERROR(VLOOKUP("industry|NOx|Asthma symptoms cough", US_national_yearly!$D:$AM, 22, FALSE) / VLOOKUP("industry|NOx|Asthma symptoms cough", US_national_yearly!$D:$AM, 10, FALSE), 1)</f>
        <v>3.982237110631507E-3</v>
      </c>
      <c r="O6" s="7">
        <f>$B6 * IFERROR(VLOOKUP("industry|NOx|Asthma symptoms cough", US_national_yearly!$D:$AM, 23, FALSE) / VLOOKUP("industry|NOx|Asthma symptoms cough", US_national_yearly!$D:$AM, 10, FALSE), 1)</f>
        <v>3.9980116461003738E-3</v>
      </c>
      <c r="P6" s="7">
        <f>$B6 * IFERROR(VLOOKUP("industry|NOx|Asthma symptoms cough", US_national_yearly!$D:$AM, 24, FALSE) / VLOOKUP("industry|NOx|Asthma symptoms cough", US_national_yearly!$D:$AM, 10, FALSE), 1)</f>
        <v>4.0137861815692424E-3</v>
      </c>
      <c r="Q6" s="7">
        <f>$B6 * IFERROR(VLOOKUP("industry|NOx|Asthma symptoms cough", US_national_yearly!$D:$AM, 25, FALSE) / VLOOKUP("industry|NOx|Asthma symptoms cough", US_national_yearly!$D:$AM, 10, FALSE), 1)</f>
        <v>4.0295607170381101E-3</v>
      </c>
      <c r="R6" s="7">
        <f>$B6 * IFERROR(VLOOKUP("industry|NOx|Asthma symptoms cough", US_national_yearly!$D:$AM, 26, FALSE) / VLOOKUP("industry|NOx|Asthma symptoms cough", US_national_yearly!$D:$AM, 10, FALSE), 1)</f>
        <v>4.0453352525069786E-3</v>
      </c>
      <c r="S6" s="7">
        <f>$B6 * IFERROR(VLOOKUP("industry|NOx|Asthma symptoms cough", US_national_yearly!$D:$AM, 27, FALSE) / VLOOKUP("industry|NOx|Asthma symptoms cough", US_national_yearly!$D:$AM, 10, FALSE), 1)</f>
        <v>4.065683705301572E-3</v>
      </c>
      <c r="T6" s="7">
        <f>$B6 * IFERROR(VLOOKUP("industry|NOx|Asthma symptoms cough", US_national_yearly!$D:$AM, 28, FALSE) / VLOOKUP("industry|NOx|Asthma symptoms cough", US_national_yearly!$D:$AM, 10, FALSE), 1)</f>
        <v>4.0860321580961654E-3</v>
      </c>
      <c r="U6" s="7">
        <f>$B6 * IFERROR(VLOOKUP("industry|NOx|Asthma symptoms cough", US_national_yearly!$D:$AM, 29, FALSE) / VLOOKUP("industry|NOx|Asthma symptoms cough", US_national_yearly!$D:$AM, 10, FALSE), 1)</f>
        <v>4.1063806108907587E-3</v>
      </c>
      <c r="V6" s="7">
        <f>$B6 * IFERROR(VLOOKUP("industry|NOx|Asthma symptoms cough", US_national_yearly!$D:$AM, 30, FALSE) / VLOOKUP("industry|NOx|Asthma symptoms cough", US_national_yearly!$D:$AM, 10, FALSE), 1)</f>
        <v>4.1267290636853504E-3</v>
      </c>
      <c r="W6" s="7">
        <f>$B6 * IFERROR(VLOOKUP("industry|NOx|Asthma symptoms cough", US_national_yearly!$D:$AM, 31, FALSE) / VLOOKUP("industry|NOx|Asthma symptoms cough", US_national_yearly!$D:$AM, 10, FALSE), 1)</f>
        <v>4.1470775164799446E-3</v>
      </c>
      <c r="X6" s="7">
        <f>$B6 * IFERROR(VLOOKUP("industry|NOx|Asthma symptoms cough", US_national_yearly!$D:$AM, 32, FALSE) / VLOOKUP("industry|NOx|Asthma symptoms cough", US_national_yearly!$D:$AM, 10, FALSE), 1)</f>
        <v>4.1659420969884205E-3</v>
      </c>
      <c r="Y6" s="7">
        <f>$B6 * IFERROR(VLOOKUP("industry|NOx|Asthma symptoms cough", US_national_yearly!$D:$AM, 33, FALSE) / VLOOKUP("industry|NOx|Asthma symptoms cough", US_national_yearly!$D:$AM, 10, FALSE), 1)</f>
        <v>4.1848066774968955E-3</v>
      </c>
      <c r="Z6" s="7">
        <f>$B6 * IFERROR(VLOOKUP("industry|NOx|Asthma symptoms cough", US_national_yearly!$D:$AM, 34, FALSE) / VLOOKUP("industry|NOx|Asthma symptoms cough", US_national_yearly!$D:$AM, 10, FALSE), 1)</f>
        <v>4.2036712580053714E-3</v>
      </c>
      <c r="AA6" s="7">
        <f>$B6 * IFERROR(VLOOKUP("industry|NOx|Asthma symptoms cough", US_national_yearly!$D:$AM, 35, FALSE) / VLOOKUP("industry|NOx|Asthma symptoms cough", US_national_yearly!$D:$AM, 10, FALSE), 1)</f>
        <v>4.2225358385138464E-3</v>
      </c>
      <c r="AB6" s="7">
        <f>$B6 * IFERROR(VLOOKUP("industry|NOx|Asthma symptoms cough", US_national_yearly!$D:$AM, 36, FALSE) / VLOOKUP("industry|NOx|Asthma symptoms cough", US_national_yearly!$D:$AM, 10, FALSE), 1)</f>
        <v>4.2414004190223214E-3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4.874668686513435E-3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4.9413558080665717E-3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5.0080429296197075E-3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5.0747300511728441E-3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5.1414171727259808E-3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5.1948898984572464E-3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5.2483626241885128E-3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5.266971606605983E-3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5.2855805890234531E-3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5.3041895714409232E-3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5.3227985538583959E-3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5.341407536275866E-3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5.3626501977649252E-3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5.3838928592539852E-3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5.4051355207430452E-3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5.4263781822321052E-3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5.4476208437211652E-3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5.4750229372521842E-3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5.502425030783205E-3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5.5298271243142249E-3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5.5572292178452448E-3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5.5846313113762638E-3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5.6100351592322422E-3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5.6354390070882188E-3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5.6608428549441963E-3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5.6862467028001738E-3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5.7116505506561504E-3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7.4476997429946618E-3</v>
      </c>
      <c r="C8" s="7">
        <f>$B8 * IFERROR(VLOOKUP("industry|NOx|Asthma symptoms wheeze", US_national_yearly!$D:$AM, 11, FALSE) / VLOOKUP("industry|NOx|Asthma symptoms wheeze", US_national_yearly!$D:$AM, 10, FALSE), 1)</f>
        <v>7.5495868026864256E-3</v>
      </c>
      <c r="D8" s="7">
        <f>$B8 * IFERROR(VLOOKUP("industry|NOx|Asthma symptoms wheeze", US_national_yearly!$D:$AM, 12, FALSE) / VLOOKUP("industry|NOx|Asthma symptoms wheeze", US_national_yearly!$D:$AM, 10, FALSE), 1)</f>
        <v>7.6514738623781886E-3</v>
      </c>
      <c r="E8" s="7">
        <f>$B8 * IFERROR(VLOOKUP("industry|NOx|Asthma symptoms wheeze", US_national_yearly!$D:$AM, 13, FALSE) / VLOOKUP("industry|NOx|Asthma symptoms wheeze", US_national_yearly!$D:$AM, 10, FALSE), 1)</f>
        <v>7.7533609220699524E-3</v>
      </c>
      <c r="F8" s="7">
        <f>$B8 * IFERROR(VLOOKUP("industry|NOx|Asthma symptoms wheeze", US_national_yearly!$D:$AM, 14, FALSE) / VLOOKUP("industry|NOx|Asthma symptoms wheeze", US_national_yearly!$D:$AM, 10, FALSE), 1)</f>
        <v>7.8552479817617146E-3</v>
      </c>
      <c r="G8" s="7">
        <f>$B8 * IFERROR(VLOOKUP("industry|NOx|Asthma symptoms wheeze", US_national_yearly!$D:$AM, 15, FALSE) / VLOOKUP("industry|NOx|Asthma symptoms wheeze", US_national_yearly!$D:$AM, 10, FALSE), 1)</f>
        <v>7.9369455971567103E-3</v>
      </c>
      <c r="H8" s="7">
        <f>$B8 * IFERROR(VLOOKUP("industry|NOx|Asthma symptoms wheeze", US_national_yearly!$D:$AM, 16, FALSE) / VLOOKUP("industry|NOx|Asthma symptoms wheeze", US_national_yearly!$D:$AM, 10, FALSE), 1)</f>
        <v>8.0186432125517043E-3</v>
      </c>
      <c r="I8" s="7">
        <f>$B8 * IFERROR(VLOOKUP("industry|NOx|Asthma symptoms wheeze", US_national_yearly!$D:$AM, 17, FALSE) / VLOOKUP("industry|NOx|Asthma symptoms wheeze", US_national_yearly!$D:$AM, 10, FALSE), 1)</f>
        <v>8.0470747069878914E-3</v>
      </c>
      <c r="J8" s="7">
        <f>$B8 * IFERROR(VLOOKUP("industry|NOx|Asthma symptoms wheeze", US_national_yearly!$D:$AM, 18, FALSE) / VLOOKUP("industry|NOx|Asthma symptoms wheeze", US_national_yearly!$D:$AM, 10, FALSE), 1)</f>
        <v>8.0755062014240785E-3</v>
      </c>
      <c r="K8" s="7">
        <f>$B8 * IFERROR(VLOOKUP("industry|NOx|Asthma symptoms wheeze", US_national_yearly!$D:$AM, 19, FALSE) / VLOOKUP("industry|NOx|Asthma symptoms wheeze", US_national_yearly!$D:$AM, 10, FALSE), 1)</f>
        <v>8.1039376958602655E-3</v>
      </c>
      <c r="L8" s="7">
        <f>$B8 * IFERROR(VLOOKUP("industry|NOx|Asthma symptoms wheeze", US_national_yearly!$D:$AM, 20, FALSE) / VLOOKUP("industry|NOx|Asthma symptoms wheeze", US_national_yearly!$D:$AM, 10, FALSE), 1)</f>
        <v>8.1323691902964491E-3</v>
      </c>
      <c r="M8" s="7">
        <f>$B8 * IFERROR(VLOOKUP("industry|NOx|Asthma symptoms wheeze", US_national_yearly!$D:$AM, 21, FALSE) / VLOOKUP("industry|NOx|Asthma symptoms wheeze", US_national_yearly!$D:$AM, 10, FALSE), 1)</f>
        <v>8.1608006847326362E-3</v>
      </c>
      <c r="N8" s="7">
        <f>$B8 * IFERROR(VLOOKUP("industry|NOx|Asthma symptoms wheeze", US_national_yearly!$D:$AM, 22, FALSE) / VLOOKUP("industry|NOx|Asthma symptoms wheeze", US_national_yearly!$D:$AM, 10, FALSE), 1)</f>
        <v>8.1932560117668318E-3</v>
      </c>
      <c r="O8" s="7">
        <f>$B8 * IFERROR(VLOOKUP("industry|NOx|Asthma symptoms wheeze", US_national_yearly!$D:$AM, 23, FALSE) / VLOOKUP("industry|NOx|Asthma symptoms wheeze", US_national_yearly!$D:$AM, 10, FALSE), 1)</f>
        <v>8.2257113388010273E-3</v>
      </c>
      <c r="P8" s="7">
        <f>$B8 * IFERROR(VLOOKUP("industry|NOx|Asthma symptoms wheeze", US_national_yearly!$D:$AM, 24, FALSE) / VLOOKUP("industry|NOx|Asthma symptoms wheeze", US_national_yearly!$D:$AM, 10, FALSE), 1)</f>
        <v>8.2581666658352211E-3</v>
      </c>
      <c r="Q8" s="7">
        <f>$B8 * IFERROR(VLOOKUP("industry|NOx|Asthma symptoms wheeze", US_national_yearly!$D:$AM, 25, FALSE) / VLOOKUP("industry|NOx|Asthma symptoms wheeze", US_national_yearly!$D:$AM, 10, FALSE), 1)</f>
        <v>8.2906219928694149E-3</v>
      </c>
      <c r="R8" s="7">
        <f>$B8 * IFERROR(VLOOKUP("industry|NOx|Asthma symptoms wheeze", US_national_yearly!$D:$AM, 26, FALSE) / VLOOKUP("industry|NOx|Asthma symptoms wheeze", US_national_yearly!$D:$AM, 10, FALSE), 1)</f>
        <v>8.3230773199036105E-3</v>
      </c>
      <c r="S8" s="7">
        <f>$B8 * IFERROR(VLOOKUP("industry|NOx|Asthma symptoms wheeze", US_national_yearly!$D:$AM, 27, FALSE) / VLOOKUP("industry|NOx|Asthma symptoms wheeze", US_national_yearly!$D:$AM, 10, FALSE), 1)</f>
        <v>8.3649432557450325E-3</v>
      </c>
      <c r="T8" s="7">
        <f>$B8 * IFERROR(VLOOKUP("industry|NOx|Asthma symptoms wheeze", US_national_yearly!$D:$AM, 28, FALSE) / VLOOKUP("industry|NOx|Asthma symptoms wheeze", US_national_yearly!$D:$AM, 10, FALSE), 1)</f>
        <v>8.4068091915864528E-3</v>
      </c>
      <c r="U8" s="7">
        <f>$B8 * IFERROR(VLOOKUP("industry|NOx|Asthma symptoms wheeze", US_national_yearly!$D:$AM, 29, FALSE) / VLOOKUP("industry|NOx|Asthma symptoms wheeze", US_national_yearly!$D:$AM, 10, FALSE), 1)</f>
        <v>8.448675127427873E-3</v>
      </c>
      <c r="V8" s="7">
        <f>$B8 * IFERROR(VLOOKUP("industry|NOx|Asthma symptoms wheeze", US_national_yearly!$D:$AM, 30, FALSE) / VLOOKUP("industry|NOx|Asthma symptoms wheeze", US_national_yearly!$D:$AM, 10, FALSE), 1)</f>
        <v>8.4905410632692933E-3</v>
      </c>
      <c r="W8" s="7">
        <f>$B8 * IFERROR(VLOOKUP("industry|NOx|Asthma symptoms wheeze", US_national_yearly!$D:$AM, 31, FALSE) / VLOOKUP("industry|NOx|Asthma symptoms wheeze", US_national_yearly!$D:$AM, 10, FALSE), 1)</f>
        <v>8.5324069991107136E-3</v>
      </c>
      <c r="X8" s="7">
        <f>$B8 * IFERROR(VLOOKUP("industry|NOx|Asthma symptoms wheeze", US_national_yearly!$D:$AM, 32, FALSE) / VLOOKUP("industry|NOx|Asthma symptoms wheeze", US_national_yearly!$D:$AM, 10, FALSE), 1)</f>
        <v>8.5712199410676992E-3</v>
      </c>
      <c r="Y8" s="7">
        <f>$B8 * IFERROR(VLOOKUP("industry|NOx|Asthma symptoms wheeze", US_national_yearly!$D:$AM, 33, FALSE) / VLOOKUP("industry|NOx|Asthma symptoms wheeze", US_national_yearly!$D:$AM, 10, FALSE), 1)</f>
        <v>8.610032883024683E-3</v>
      </c>
      <c r="Z8" s="7">
        <f>$B8 * IFERROR(VLOOKUP("industry|NOx|Asthma symptoms wheeze", US_national_yearly!$D:$AM, 34, FALSE) / VLOOKUP("industry|NOx|Asthma symptoms wheeze", US_national_yearly!$D:$AM, 10, FALSE), 1)</f>
        <v>8.6488458249816668E-3</v>
      </c>
      <c r="AA8" s="7">
        <f>$B8 * IFERROR(VLOOKUP("industry|NOx|Asthma symptoms wheeze", US_national_yearly!$D:$AM, 35, FALSE) / VLOOKUP("industry|NOx|Asthma symptoms wheeze", US_national_yearly!$D:$AM, 10, FALSE), 1)</f>
        <v>8.6876587669386489E-3</v>
      </c>
      <c r="AB8" s="7">
        <f>$B8 * IFERROR(VLOOKUP("industry|NOx|Asthma symptoms wheeze", US_national_yearly!$D:$AM, 36, FALSE) / VLOOKUP("industry|NOx|Asthma symptoms wheeze", US_national_yearly!$D:$AM, 10, FALSE), 1)</f>
        <v>8.7264717088956396E-3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1.1200307861426815E-4</v>
      </c>
      <c r="C12" s="7">
        <f>$B12 * IFERROR(VLOOKUP("industry|NOx|Respiratory hospital admissions", US_national_yearly!$D:$AM, 11, FALSE) / VLOOKUP("industry|NOx|Respiratory hospital admissions", US_national_yearly!$D:$AM, 10, FALSE), 1)</f>
        <v>1.1481696701680918E-4</v>
      </c>
      <c r="D12" s="7">
        <f>$B12 * IFERROR(VLOOKUP("industry|NOx|Respiratory hospital admissions", US_national_yearly!$D:$AM, 12, FALSE) / VLOOKUP("industry|NOx|Respiratory hospital admissions", US_national_yearly!$D:$AM, 10, FALSE), 1)</f>
        <v>1.1763085541935021E-4</v>
      </c>
      <c r="E12" s="7">
        <f>$B12 * IFERROR(VLOOKUP("industry|NOx|Respiratory hospital admissions", US_national_yearly!$D:$AM, 13, FALSE) / VLOOKUP("industry|NOx|Respiratory hospital admissions", US_national_yearly!$D:$AM, 10, FALSE), 1)</f>
        <v>1.2044474382189126E-4</v>
      </c>
      <c r="F12" s="7">
        <f>$B12 * IFERROR(VLOOKUP("industry|NOx|Respiratory hospital admissions", US_national_yearly!$D:$AM, 14, FALSE) / VLOOKUP("industry|NOx|Respiratory hospital admissions", US_national_yearly!$D:$AM, 10, FALSE), 1)</f>
        <v>1.2325863222443226E-4</v>
      </c>
      <c r="G12" s="7">
        <f>$B12 * IFERROR(VLOOKUP("industry|NOx|Respiratory hospital admissions", US_national_yearly!$D:$AM, 15, FALSE) / VLOOKUP("industry|NOx|Respiratory hospital admissions", US_national_yearly!$D:$AM, 10, FALSE), 1)</f>
        <v>1.259502416073305E-4</v>
      </c>
      <c r="H12" s="7">
        <f>$B12 * IFERROR(VLOOKUP("industry|NOx|Respiratory hospital admissions", US_national_yearly!$D:$AM, 16, FALSE) / VLOOKUP("industry|NOx|Respiratory hospital admissions", US_national_yearly!$D:$AM, 10, FALSE), 1)</f>
        <v>1.2864185099022873E-4</v>
      </c>
      <c r="I12" s="7">
        <f>$B12 * IFERROR(VLOOKUP("industry|NOx|Respiratory hospital admissions", US_national_yearly!$D:$AM, 17, FALSE) / VLOOKUP("industry|NOx|Respiratory hospital admissions", US_national_yearly!$D:$AM, 10, FALSE), 1)</f>
        <v>1.3093412187910929E-4</v>
      </c>
      <c r="J12" s="7">
        <f>$B12 * IFERROR(VLOOKUP("industry|NOx|Respiratory hospital admissions", US_national_yearly!$D:$AM, 18, FALSE) / VLOOKUP("industry|NOx|Respiratory hospital admissions", US_national_yearly!$D:$AM, 10, FALSE), 1)</f>
        <v>1.3322639276798986E-4</v>
      </c>
      <c r="K12" s="7">
        <f>$B12 * IFERROR(VLOOKUP("industry|NOx|Respiratory hospital admissions", US_national_yearly!$D:$AM, 19, FALSE) / VLOOKUP("industry|NOx|Respiratory hospital admissions", US_national_yearly!$D:$AM, 10, FALSE), 1)</f>
        <v>1.3551866365687042E-4</v>
      </c>
      <c r="L12" s="7">
        <f>$B12 * IFERROR(VLOOKUP("industry|NOx|Respiratory hospital admissions", US_national_yearly!$D:$AM, 20, FALSE) / VLOOKUP("industry|NOx|Respiratory hospital admissions", US_national_yearly!$D:$AM, 10, FALSE), 1)</f>
        <v>1.3781093454575102E-4</v>
      </c>
      <c r="M12" s="7">
        <f>$B12 * IFERROR(VLOOKUP("industry|NOx|Respiratory hospital admissions", US_national_yearly!$D:$AM, 21, FALSE) / VLOOKUP("industry|NOx|Respiratory hospital admissions", US_national_yearly!$D:$AM, 10, FALSE), 1)</f>
        <v>1.4010320543463158E-4</v>
      </c>
      <c r="N12" s="7">
        <f>$B12 * IFERROR(VLOOKUP("industry|NOx|Respiratory hospital admissions", US_national_yearly!$D:$AM, 22, FALSE) / VLOOKUP("industry|NOx|Respiratory hospital admissions", US_national_yearly!$D:$AM, 10, FALSE), 1)</f>
        <v>1.4163952432733531E-4</v>
      </c>
      <c r="O12" s="7">
        <f>$B12 * IFERROR(VLOOKUP("industry|NOx|Respiratory hospital admissions", US_national_yearly!$D:$AM, 23, FALSE) / VLOOKUP("industry|NOx|Respiratory hospital admissions", US_national_yearly!$D:$AM, 10, FALSE), 1)</f>
        <v>1.4317584322003898E-4</v>
      </c>
      <c r="P12" s="7">
        <f>$B12 * IFERROR(VLOOKUP("industry|NOx|Respiratory hospital admissions", US_national_yearly!$D:$AM, 24, FALSE) / VLOOKUP("industry|NOx|Respiratory hospital admissions", US_national_yearly!$D:$AM, 10, FALSE), 1)</f>
        <v>1.4471216211274271E-4</v>
      </c>
      <c r="Q12" s="7">
        <f>$B12 * IFERROR(VLOOKUP("industry|NOx|Respiratory hospital admissions", US_national_yearly!$D:$AM, 25, FALSE) / VLOOKUP("industry|NOx|Respiratory hospital admissions", US_national_yearly!$D:$AM, 10, FALSE), 1)</f>
        <v>1.4624848100544638E-4</v>
      </c>
      <c r="R12" s="7">
        <f>$B12 * IFERROR(VLOOKUP("industry|NOx|Respiratory hospital admissions", US_national_yearly!$D:$AM, 26, FALSE) / VLOOKUP("industry|NOx|Respiratory hospital admissions", US_national_yearly!$D:$AM, 10, FALSE), 1)</f>
        <v>1.4778479989815011E-4</v>
      </c>
      <c r="S12" s="7">
        <f>$B12 * IFERROR(VLOOKUP("industry|NOx|Respiratory hospital admissions", US_national_yearly!$D:$AM, 27, FALSE) / VLOOKUP("industry|NOx|Respiratory hospital admissions", US_national_yearly!$D:$AM, 10, FALSE), 1)</f>
        <v>1.486188875705705E-4</v>
      </c>
      <c r="T12" s="7">
        <f>$B12 * IFERROR(VLOOKUP("industry|NOx|Respiratory hospital admissions", US_national_yearly!$D:$AM, 28, FALSE) / VLOOKUP("industry|NOx|Respiratory hospital admissions", US_national_yearly!$D:$AM, 10, FALSE), 1)</f>
        <v>1.4945297524299092E-4</v>
      </c>
      <c r="U12" s="7">
        <f>$B12 * IFERROR(VLOOKUP("industry|NOx|Respiratory hospital admissions", US_national_yearly!$D:$AM, 29, FALSE) / VLOOKUP("industry|NOx|Respiratory hospital admissions", US_national_yearly!$D:$AM, 10, FALSE), 1)</f>
        <v>1.502870629154113E-4</v>
      </c>
      <c r="V12" s="7">
        <f>$B12 * IFERROR(VLOOKUP("industry|NOx|Respiratory hospital admissions", US_national_yearly!$D:$AM, 30, FALSE) / VLOOKUP("industry|NOx|Respiratory hospital admissions", US_national_yearly!$D:$AM, 10, FALSE), 1)</f>
        <v>1.5112115058783169E-4</v>
      </c>
      <c r="W12" s="7">
        <f>$B12 * IFERROR(VLOOKUP("industry|NOx|Respiratory hospital admissions", US_national_yearly!$D:$AM, 31, FALSE) / VLOOKUP("industry|NOx|Respiratory hospital admissions", US_national_yearly!$D:$AM, 10, FALSE), 1)</f>
        <v>1.5195523826025208E-4</v>
      </c>
      <c r="X12" s="7">
        <f>$B12 * IFERROR(VLOOKUP("industry|NOx|Respiratory hospital admissions", US_national_yearly!$D:$AM, 32, FALSE) / VLOOKUP("industry|NOx|Respiratory hospital admissions", US_national_yearly!$D:$AM, 10, FALSE), 1)</f>
        <v>1.5253681556624796E-4</v>
      </c>
      <c r="Y12" s="7">
        <f>$B12 * IFERROR(VLOOKUP("industry|NOx|Respiratory hospital admissions", US_national_yearly!$D:$AM, 33, FALSE) / VLOOKUP("industry|NOx|Respiratory hospital admissions", US_national_yearly!$D:$AM, 10, FALSE), 1)</f>
        <v>1.5311839287224382E-4</v>
      </c>
      <c r="Z12" s="7">
        <f>$B12 * IFERROR(VLOOKUP("industry|NOx|Respiratory hospital admissions", US_national_yearly!$D:$AM, 34, FALSE) / VLOOKUP("industry|NOx|Respiratory hospital admissions", US_national_yearly!$D:$AM, 10, FALSE), 1)</f>
        <v>1.5369997017823973E-4</v>
      </c>
      <c r="AA12" s="7">
        <f>$B12 * IFERROR(VLOOKUP("industry|NOx|Respiratory hospital admissions", US_national_yearly!$D:$AM, 35, FALSE) / VLOOKUP("industry|NOx|Respiratory hospital admissions", US_national_yearly!$D:$AM, 10, FALSE), 1)</f>
        <v>1.5428154748423558E-4</v>
      </c>
      <c r="AB12" s="7">
        <f>$B12 * IFERROR(VLOOKUP("industry|NOx|Respiratory hospital admissions", US_national_yearly!$D:$AM, 36, FALSE) / VLOOKUP("industry|NOx|Respiratory hospital admissions", US_national_yearly!$D:$AM, 10, FALSE), 1)</f>
        <v>1.5486312479023144E-4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5.3148809787076519E-4</v>
      </c>
      <c r="C13" s="7">
        <f>$B13 * IFERROR(VLOOKUP("industry|NOx|Non-fatal heart attacks", US_national_yearly!$D:$AM, 11, FALSE) / VLOOKUP("industry|NOx|Non-fatal heart attacks", US_national_yearly!$D:$AM, 10, FALSE), 1)</f>
        <v>5.4667322214137476E-4</v>
      </c>
      <c r="D13" s="7">
        <f>$B13 * IFERROR(VLOOKUP("industry|NOx|Non-fatal heart attacks", US_national_yearly!$D:$AM, 12, FALSE) / VLOOKUP("industry|NOx|Non-fatal heart attacks", US_national_yearly!$D:$AM, 10, FALSE), 1)</f>
        <v>5.6185834641198432E-4</v>
      </c>
      <c r="E13" s="7">
        <f>$B13 * IFERROR(VLOOKUP("industry|NOx|Non-fatal heart attacks", US_national_yearly!$D:$AM, 13, FALSE) / VLOOKUP("industry|NOx|Non-fatal heart attacks", US_national_yearly!$D:$AM, 10, FALSE), 1)</f>
        <v>5.7704347068259388E-4</v>
      </c>
      <c r="F13" s="7">
        <f>$B13 * IFERROR(VLOOKUP("industry|NOx|Non-fatal heart attacks", US_national_yearly!$D:$AM, 14, FALSE) / VLOOKUP("industry|NOx|Non-fatal heart attacks", US_national_yearly!$D:$AM, 10, FALSE), 1)</f>
        <v>5.9222859495320344E-4</v>
      </c>
      <c r="G13" s="7">
        <f>$B13 * IFERROR(VLOOKUP("industry|NOx|Non-fatal heart attacks", US_national_yearly!$D:$AM, 15, FALSE) / VLOOKUP("industry|NOx|Non-fatal heart attacks", US_national_yearly!$D:$AM, 10, FALSE), 1)</f>
        <v>6.0643110965226464E-4</v>
      </c>
      <c r="H13" s="7">
        <f>$B13 * IFERROR(VLOOKUP("industry|NOx|Non-fatal heart attacks", US_national_yearly!$D:$AM, 16, FALSE) / VLOOKUP("industry|NOx|Non-fatal heart attacks", US_national_yearly!$D:$AM, 10, FALSE), 1)</f>
        <v>6.2063362435132573E-4</v>
      </c>
      <c r="I13" s="7">
        <f>$B13 * IFERROR(VLOOKUP("industry|NOx|Non-fatal heart attacks", US_national_yearly!$D:$AM, 17, FALSE) / VLOOKUP("industry|NOx|Non-fatal heart attacks", US_national_yearly!$D:$AM, 10, FALSE), 1)</f>
        <v>6.3186632052178188E-4</v>
      </c>
      <c r="J13" s="7">
        <f>$B13 * IFERROR(VLOOKUP("industry|NOx|Non-fatal heart attacks", US_national_yearly!$D:$AM, 18, FALSE) / VLOOKUP("industry|NOx|Non-fatal heart attacks", US_national_yearly!$D:$AM, 10, FALSE), 1)</f>
        <v>6.4309901669223804E-4</v>
      </c>
      <c r="K13" s="7">
        <f>$B13 * IFERROR(VLOOKUP("industry|NOx|Non-fatal heart attacks", US_national_yearly!$D:$AM, 19, FALSE) / VLOOKUP("industry|NOx|Non-fatal heart attacks", US_national_yearly!$D:$AM, 10, FALSE), 1)</f>
        <v>6.5433171286269397E-4</v>
      </c>
      <c r="L13" s="7">
        <f>$B13 * IFERROR(VLOOKUP("industry|NOx|Non-fatal heart attacks", US_national_yearly!$D:$AM, 20, FALSE) / VLOOKUP("industry|NOx|Non-fatal heart attacks", US_national_yearly!$D:$AM, 10, FALSE), 1)</f>
        <v>6.6556440903315034E-4</v>
      </c>
      <c r="M13" s="7">
        <f>$B13 * IFERROR(VLOOKUP("industry|NOx|Non-fatal heart attacks", US_national_yearly!$D:$AM, 21, FALSE) / VLOOKUP("industry|NOx|Non-fatal heart attacks", US_national_yearly!$D:$AM, 10, FALSE), 1)</f>
        <v>6.767971052036066E-4</v>
      </c>
      <c r="N13" s="7">
        <f>$B13 * IFERROR(VLOOKUP("industry|NOx|Non-fatal heart attacks", US_national_yearly!$D:$AM, 22, FALSE) / VLOOKUP("industry|NOx|Non-fatal heart attacks", US_national_yearly!$D:$AM, 10, FALSE), 1)</f>
        <v>6.8356426552836254E-4</v>
      </c>
      <c r="O13" s="7">
        <f>$B13 * IFERROR(VLOOKUP("industry|NOx|Non-fatal heart attacks", US_national_yearly!$D:$AM, 23, FALSE) / VLOOKUP("industry|NOx|Non-fatal heart attacks", US_national_yearly!$D:$AM, 10, FALSE), 1)</f>
        <v>6.9033142585311848E-4</v>
      </c>
      <c r="P13" s="7">
        <f>$B13 * IFERROR(VLOOKUP("industry|NOx|Non-fatal heart attacks", US_national_yearly!$D:$AM, 24, FALSE) / VLOOKUP("industry|NOx|Non-fatal heart attacks", US_national_yearly!$D:$AM, 10, FALSE), 1)</f>
        <v>6.9709858617787431E-4</v>
      </c>
      <c r="Q13" s="7">
        <f>$B13 * IFERROR(VLOOKUP("industry|NOx|Non-fatal heart attacks", US_national_yearly!$D:$AM, 25, FALSE) / VLOOKUP("industry|NOx|Non-fatal heart attacks", US_national_yearly!$D:$AM, 10, FALSE), 1)</f>
        <v>7.0386574650263014E-4</v>
      </c>
      <c r="R13" s="7">
        <f>$B13 * IFERROR(VLOOKUP("industry|NOx|Non-fatal heart attacks", US_national_yearly!$D:$AM, 26, FALSE) / VLOOKUP("industry|NOx|Non-fatal heart attacks", US_national_yearly!$D:$AM, 10, FALSE), 1)</f>
        <v>7.1063290682738607E-4</v>
      </c>
      <c r="S13" s="7">
        <f>$B13 * IFERROR(VLOOKUP("industry|NOx|Non-fatal heart attacks", US_national_yearly!$D:$AM, 27, FALSE) / VLOOKUP("industry|NOx|Non-fatal heart attacks", US_national_yearly!$D:$AM, 10, FALSE), 1)</f>
        <v>7.1373781496498535E-4</v>
      </c>
      <c r="T13" s="7">
        <f>$B13 * IFERROR(VLOOKUP("industry|NOx|Non-fatal heart attacks", US_national_yearly!$D:$AM, 28, FALSE) / VLOOKUP("industry|NOx|Non-fatal heart attacks", US_national_yearly!$D:$AM, 10, FALSE), 1)</f>
        <v>7.1684272310258441E-4</v>
      </c>
      <c r="U13" s="7">
        <f>$B13 * IFERROR(VLOOKUP("industry|NOx|Non-fatal heart attacks", US_national_yearly!$D:$AM, 29, FALSE) / VLOOKUP("industry|NOx|Non-fatal heart attacks", US_national_yearly!$D:$AM, 10, FALSE), 1)</f>
        <v>7.1994763124018357E-4</v>
      </c>
      <c r="V13" s="7">
        <f>$B13 * IFERROR(VLOOKUP("industry|NOx|Non-fatal heart attacks", US_national_yearly!$D:$AM, 30, FALSE) / VLOOKUP("industry|NOx|Non-fatal heart attacks", US_national_yearly!$D:$AM, 10, FALSE), 1)</f>
        <v>7.2305253937778285E-4</v>
      </c>
      <c r="W13" s="7">
        <f>$B13 * IFERROR(VLOOKUP("industry|NOx|Non-fatal heart attacks", US_national_yearly!$D:$AM, 31, FALSE) / VLOOKUP("industry|NOx|Non-fatal heart attacks", US_national_yearly!$D:$AM, 10, FALSE), 1)</f>
        <v>7.2615744751538191E-4</v>
      </c>
      <c r="X13" s="7">
        <f>$B13 * IFERROR(VLOOKUP("industry|NOx|Non-fatal heart attacks", US_national_yearly!$D:$AM, 32, FALSE) / VLOOKUP("industry|NOx|Non-fatal heart attacks", US_national_yearly!$D:$AM, 10, FALSE), 1)</f>
        <v>7.2825292035126209E-4</v>
      </c>
      <c r="Y13" s="7">
        <f>$B13 * IFERROR(VLOOKUP("industry|NOx|Non-fatal heart attacks", US_national_yearly!$D:$AM, 33, FALSE) / VLOOKUP("industry|NOx|Non-fatal heart attacks", US_national_yearly!$D:$AM, 10, FALSE), 1)</f>
        <v>7.3034839318714226E-4</v>
      </c>
      <c r="Z13" s="7">
        <f>$B13 * IFERROR(VLOOKUP("industry|NOx|Non-fatal heart attacks", US_national_yearly!$D:$AM, 34, FALSE) / VLOOKUP("industry|NOx|Non-fatal heart attacks", US_national_yearly!$D:$AM, 10, FALSE), 1)</f>
        <v>7.3244386602302244E-4</v>
      </c>
      <c r="AA13" s="7">
        <f>$B13 * IFERROR(VLOOKUP("industry|NOx|Non-fatal heart attacks", US_national_yearly!$D:$AM, 35, FALSE) / VLOOKUP("industry|NOx|Non-fatal heart attacks", US_national_yearly!$D:$AM, 10, FALSE), 1)</f>
        <v>7.3453933885890262E-4</v>
      </c>
      <c r="AB13" s="7">
        <f>$B13 * IFERROR(VLOOKUP("industry|NOx|Non-fatal heart attacks", US_national_yearly!$D:$AM, 36, FALSE) / VLOOKUP("industry|NOx|Non-fatal heart attacks", US_national_yearly!$D:$AM, 10, FALSE), 1)</f>
        <v>7.3663481169478279E-4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0.50391704277950888</v>
      </c>
      <c r="C14" s="7">
        <f>$B14 * IFERROR(VLOOKUP("industry|NOx|Minor restricted activity days", US_national_yearly!$D:$AM, 11, FALSE) / VLOOKUP("industry|NOx|Minor restricted activity days", US_national_yearly!$D:$AM, 10, FALSE), 1)</f>
        <v>0.50466363476290155</v>
      </c>
      <c r="D14" s="7">
        <f>$B14 * IFERROR(VLOOKUP("industry|NOx|Minor restricted activity days", US_national_yearly!$D:$AM, 12, FALSE) / VLOOKUP("industry|NOx|Minor restricted activity days", US_national_yearly!$D:$AM, 10, FALSE), 1)</f>
        <v>0.5054102267462941</v>
      </c>
      <c r="E14" s="7">
        <f>$B14 * IFERROR(VLOOKUP("industry|NOx|Minor restricted activity days", US_national_yearly!$D:$AM, 13, FALSE) / VLOOKUP("industry|NOx|Minor restricted activity days", US_national_yearly!$D:$AM, 10, FALSE), 1)</f>
        <v>0.50615681872968676</v>
      </c>
      <c r="F14" s="7">
        <f>$B14 * IFERROR(VLOOKUP("industry|NOx|Minor restricted activity days", US_national_yearly!$D:$AM, 14, FALSE) / VLOOKUP("industry|NOx|Minor restricted activity days", US_national_yearly!$D:$AM, 10, FALSE), 1)</f>
        <v>0.50690341071307932</v>
      </c>
      <c r="G14" s="7">
        <f>$B14 * IFERROR(VLOOKUP("industry|NOx|Minor restricted activity days", US_national_yearly!$D:$AM, 15, FALSE) / VLOOKUP("industry|NOx|Minor restricted activity days", US_national_yearly!$D:$AM, 10, FALSE), 1)</f>
        <v>0.50826251159886959</v>
      </c>
      <c r="H14" s="7">
        <f>$B14 * IFERROR(VLOOKUP("industry|NOx|Minor restricted activity days", US_national_yearly!$D:$AM, 16, FALSE) / VLOOKUP("industry|NOx|Minor restricted activity days", US_national_yearly!$D:$AM, 10, FALSE), 1)</f>
        <v>0.50962161248465987</v>
      </c>
      <c r="I14" s="7">
        <f>$B14 * IFERROR(VLOOKUP("industry|NOx|Minor restricted activity days", US_national_yearly!$D:$AM, 17, FALSE) / VLOOKUP("industry|NOx|Minor restricted activity days", US_national_yearly!$D:$AM, 10, FALSE), 1)</f>
        <v>0.5122971960430035</v>
      </c>
      <c r="J14" s="7">
        <f>$B14 * IFERROR(VLOOKUP("industry|NOx|Minor restricted activity days", US_national_yearly!$D:$AM, 18, FALSE) / VLOOKUP("industry|NOx|Minor restricted activity days", US_national_yearly!$D:$AM, 10, FALSE), 1)</f>
        <v>0.51497277960134713</v>
      </c>
      <c r="K14" s="7">
        <f>$B14 * IFERROR(VLOOKUP("industry|NOx|Minor restricted activity days", US_national_yearly!$D:$AM, 19, FALSE) / VLOOKUP("industry|NOx|Minor restricted activity days", US_national_yearly!$D:$AM, 10, FALSE), 1)</f>
        <v>0.51764836315969054</v>
      </c>
      <c r="L14" s="7">
        <f>$B14 * IFERROR(VLOOKUP("industry|NOx|Minor restricted activity days", US_national_yearly!$D:$AM, 20, FALSE) / VLOOKUP("industry|NOx|Minor restricted activity days", US_national_yearly!$D:$AM, 10, FALSE), 1)</f>
        <v>0.52032394671803428</v>
      </c>
      <c r="M14" s="7">
        <f>$B14 * IFERROR(VLOOKUP("industry|NOx|Minor restricted activity days", US_national_yearly!$D:$AM, 21, FALSE) / VLOOKUP("industry|NOx|Minor restricted activity days", US_national_yearly!$D:$AM, 10, FALSE), 1)</f>
        <v>0.52299953027637791</v>
      </c>
      <c r="N14" s="7">
        <f>$B14 * IFERROR(VLOOKUP("industry|NOx|Minor restricted activity days", US_national_yearly!$D:$AM, 22, FALSE) / VLOOKUP("industry|NOx|Minor restricted activity days", US_national_yearly!$D:$AM, 10, FALSE), 1)</f>
        <v>0.52685254946868099</v>
      </c>
      <c r="O14" s="7">
        <f>$B14 * IFERROR(VLOOKUP("industry|NOx|Minor restricted activity days", US_national_yearly!$D:$AM, 23, FALSE) / VLOOKUP("industry|NOx|Minor restricted activity days", US_national_yearly!$D:$AM, 10, FALSE), 1)</f>
        <v>0.53070556866098417</v>
      </c>
      <c r="P14" s="7">
        <f>$B14 * IFERROR(VLOOKUP("industry|NOx|Minor restricted activity days", US_national_yearly!$D:$AM, 24, FALSE) / VLOOKUP("industry|NOx|Minor restricted activity days", US_national_yearly!$D:$AM, 10, FALSE), 1)</f>
        <v>0.53455858785328747</v>
      </c>
      <c r="Q14" s="7">
        <f>$B14 * IFERROR(VLOOKUP("industry|NOx|Minor restricted activity days", US_national_yearly!$D:$AM, 25, FALSE) / VLOOKUP("industry|NOx|Minor restricted activity days", US_national_yearly!$D:$AM, 10, FALSE), 1)</f>
        <v>0.53841160704559055</v>
      </c>
      <c r="R14" s="7">
        <f>$B14 * IFERROR(VLOOKUP("industry|NOx|Minor restricted activity days", US_national_yearly!$D:$AM, 26, FALSE) / VLOOKUP("industry|NOx|Minor restricted activity days", US_national_yearly!$D:$AM, 10, FALSE), 1)</f>
        <v>0.54226462623789373</v>
      </c>
      <c r="S14" s="7">
        <f>$B14 * IFERROR(VLOOKUP("industry|NOx|Minor restricted activity days", US_national_yearly!$D:$AM, 27, FALSE) / VLOOKUP("industry|NOx|Minor restricted activity days", US_national_yearly!$D:$AM, 10, FALSE), 1)</f>
        <v>0.54612177060287037</v>
      </c>
      <c r="T14" s="7">
        <f>$B14 * IFERROR(VLOOKUP("industry|NOx|Minor restricted activity days", US_national_yearly!$D:$AM, 28, FALSE) / VLOOKUP("industry|NOx|Minor restricted activity days", US_national_yearly!$D:$AM, 10, FALSE), 1)</f>
        <v>0.54997891496784701</v>
      </c>
      <c r="U14" s="7">
        <f>$B14 * IFERROR(VLOOKUP("industry|NOx|Minor restricted activity days", US_national_yearly!$D:$AM, 29, FALSE) / VLOOKUP("industry|NOx|Minor restricted activity days", US_national_yearly!$D:$AM, 10, FALSE), 1)</f>
        <v>0.55383605933282365</v>
      </c>
      <c r="V14" s="7">
        <f>$B14 * IFERROR(VLOOKUP("industry|NOx|Minor restricted activity days", US_national_yearly!$D:$AM, 30, FALSE) / VLOOKUP("industry|NOx|Minor restricted activity days", US_national_yearly!$D:$AM, 10, FALSE), 1)</f>
        <v>0.5576932036978004</v>
      </c>
      <c r="W14" s="7">
        <f>$B14 * IFERROR(VLOOKUP("industry|NOx|Minor restricted activity days", US_national_yearly!$D:$AM, 31, FALSE) / VLOOKUP("industry|NOx|Minor restricted activity days", US_national_yearly!$D:$AM, 10, FALSE), 1)</f>
        <v>0.56155034806277704</v>
      </c>
      <c r="X14" s="7">
        <f>$B14 * IFERROR(VLOOKUP("industry|NOx|Minor restricted activity days", US_national_yearly!$D:$AM, 32, FALSE) / VLOOKUP("industry|NOx|Minor restricted activity days", US_national_yearly!$D:$AM, 10, FALSE), 1)</f>
        <v>0.56480687875701863</v>
      </c>
      <c r="Y14" s="7">
        <f>$B14 * IFERROR(VLOOKUP("industry|NOx|Minor restricted activity days", US_national_yearly!$D:$AM, 33, FALSE) / VLOOKUP("industry|NOx|Minor restricted activity days", US_national_yearly!$D:$AM, 10, FALSE), 1)</f>
        <v>0.5680634094512601</v>
      </c>
      <c r="Z14" s="7">
        <f>$B14 * IFERROR(VLOOKUP("industry|NOx|Minor restricted activity days", US_national_yearly!$D:$AM, 34, FALSE) / VLOOKUP("industry|NOx|Minor restricted activity days", US_national_yearly!$D:$AM, 10, FALSE), 1)</f>
        <v>0.57131994014550158</v>
      </c>
      <c r="AA14" s="7">
        <f>$B14 * IFERROR(VLOOKUP("industry|NOx|Minor restricted activity days", US_national_yearly!$D:$AM, 35, FALSE) / VLOOKUP("industry|NOx|Minor restricted activity days", US_national_yearly!$D:$AM, 10, FALSE), 1)</f>
        <v>0.57457647083974317</v>
      </c>
      <c r="AB14" s="7">
        <f>$B14 * IFERROR(VLOOKUP("industry|NOx|Minor restricted activity days", US_national_yearly!$D:$AM, 36, FALSE) / VLOOKUP("industry|NOx|Minor restricted activity days", US_national_yearly!$D:$AM, 10, FALSE), 1)</f>
        <v>0.57783300153398476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8.5794138818876625E-2</v>
      </c>
      <c r="C15" s="7">
        <f>$B15 * IFERROR(VLOOKUP("industry|NOx|Work loss days", US_national_yearly!$D:$AM, 11, FALSE) / VLOOKUP("industry|NOx|Work loss days", US_national_yearly!$D:$AM, 10, FALSE), 1)</f>
        <v>8.5980026995929493E-2</v>
      </c>
      <c r="D15" s="7">
        <f>$B15 * IFERROR(VLOOKUP("industry|NOx|Work loss days", US_national_yearly!$D:$AM, 12, FALSE) / VLOOKUP("industry|NOx|Work loss days", US_national_yearly!$D:$AM, 10, FALSE), 1)</f>
        <v>8.6165915172982319E-2</v>
      </c>
      <c r="E15" s="7">
        <f>$B15 * IFERROR(VLOOKUP("industry|NOx|Work loss days", US_national_yearly!$D:$AM, 13, FALSE) / VLOOKUP("industry|NOx|Work loss days", US_national_yearly!$D:$AM, 10, FALSE), 1)</f>
        <v>8.6351803350035186E-2</v>
      </c>
      <c r="F15" s="7">
        <f>$B15 * IFERROR(VLOOKUP("industry|NOx|Work loss days", US_national_yearly!$D:$AM, 14, FALSE) / VLOOKUP("industry|NOx|Work loss days", US_national_yearly!$D:$AM, 10, FALSE), 1)</f>
        <v>8.6537691527088026E-2</v>
      </c>
      <c r="G15" s="7">
        <f>$B15 * IFERROR(VLOOKUP("industry|NOx|Work loss days", US_national_yearly!$D:$AM, 15, FALSE) / VLOOKUP("industry|NOx|Work loss days", US_national_yearly!$D:$AM, 10, FALSE), 1)</f>
        <v>8.680959930800547E-2</v>
      </c>
      <c r="H15" s="7">
        <f>$B15 * IFERROR(VLOOKUP("industry|NOx|Work loss days", US_national_yearly!$D:$AM, 16, FALSE) / VLOOKUP("industry|NOx|Work loss days", US_national_yearly!$D:$AM, 10, FALSE), 1)</f>
        <v>8.7081507088922913E-2</v>
      </c>
      <c r="I15" s="7">
        <f>$B15 * IFERROR(VLOOKUP("industry|NOx|Work loss days", US_national_yearly!$D:$AM, 17, FALSE) / VLOOKUP("industry|NOx|Work loss days", US_national_yearly!$D:$AM, 10, FALSE), 1)</f>
        <v>8.7523288289444182E-2</v>
      </c>
      <c r="J15" s="7">
        <f>$B15 * IFERROR(VLOOKUP("industry|NOx|Work loss days", US_national_yearly!$D:$AM, 18, FALSE) / VLOOKUP("industry|NOx|Work loss days", US_national_yearly!$D:$AM, 10, FALSE), 1)</f>
        <v>8.796506948996545E-2</v>
      </c>
      <c r="K15" s="7">
        <f>$B15 * IFERROR(VLOOKUP("industry|NOx|Work loss days", US_national_yearly!$D:$AM, 19, FALSE) / VLOOKUP("industry|NOx|Work loss days", US_national_yearly!$D:$AM, 10, FALSE), 1)</f>
        <v>8.8406850690486719E-2</v>
      </c>
      <c r="L15" s="7">
        <f>$B15 * IFERROR(VLOOKUP("industry|NOx|Work loss days", US_national_yearly!$D:$AM, 20, FALSE) / VLOOKUP("industry|NOx|Work loss days", US_national_yearly!$D:$AM, 10, FALSE), 1)</f>
        <v>8.8848631891007987E-2</v>
      </c>
      <c r="M15" s="7">
        <f>$B15 * IFERROR(VLOOKUP("industry|NOx|Work loss days", US_national_yearly!$D:$AM, 21, FALSE) / VLOOKUP("industry|NOx|Work loss days", US_national_yearly!$D:$AM, 10, FALSE), 1)</f>
        <v>8.9290413091529255E-2</v>
      </c>
      <c r="N15" s="7">
        <f>$B15 * IFERROR(VLOOKUP("industry|NOx|Work loss days", US_national_yearly!$D:$AM, 22, FALSE) / VLOOKUP("industry|NOx|Work loss days", US_national_yearly!$D:$AM, 10, FALSE), 1)</f>
        <v>8.9868162716103081E-2</v>
      </c>
      <c r="O15" s="7">
        <f>$B15 * IFERROR(VLOOKUP("industry|NOx|Work loss days", US_national_yearly!$D:$AM, 23, FALSE) / VLOOKUP("industry|NOx|Work loss days", US_national_yearly!$D:$AM, 10, FALSE), 1)</f>
        <v>9.0445912340676934E-2</v>
      </c>
      <c r="P15" s="7">
        <f>$B15 * IFERROR(VLOOKUP("industry|NOx|Work loss days", US_national_yearly!$D:$AM, 24, FALSE) / VLOOKUP("industry|NOx|Work loss days", US_national_yearly!$D:$AM, 10, FALSE), 1)</f>
        <v>9.102366196525076E-2</v>
      </c>
      <c r="Q15" s="7">
        <f>$B15 * IFERROR(VLOOKUP("industry|NOx|Work loss days", US_national_yearly!$D:$AM, 25, FALSE) / VLOOKUP("industry|NOx|Work loss days", US_national_yearly!$D:$AM, 10, FALSE), 1)</f>
        <v>9.16014115898246E-2</v>
      </c>
      <c r="R15" s="7">
        <f>$B15 * IFERROR(VLOOKUP("industry|NOx|Work loss days", US_national_yearly!$D:$AM, 26, FALSE) / VLOOKUP("industry|NOx|Work loss days", US_national_yearly!$D:$AM, 10, FALSE), 1)</f>
        <v>9.2179161214398439E-2</v>
      </c>
      <c r="S15" s="7">
        <f>$B15 * IFERROR(VLOOKUP("industry|NOx|Work loss days", US_national_yearly!$D:$AM, 27, FALSE) / VLOOKUP("industry|NOx|Work loss days", US_national_yearly!$D:$AM, 10, FALSE), 1)</f>
        <v>9.2825050299274972E-2</v>
      </c>
      <c r="T15" s="7">
        <f>$B15 * IFERROR(VLOOKUP("industry|NOx|Work loss days", US_national_yearly!$D:$AM, 28, FALSE) / VLOOKUP("industry|NOx|Work loss days", US_national_yearly!$D:$AM, 10, FALSE), 1)</f>
        <v>9.3470939384151533E-2</v>
      </c>
      <c r="U15" s="7">
        <f>$B15 * IFERROR(VLOOKUP("industry|NOx|Work loss days", US_national_yearly!$D:$AM, 29, FALSE) / VLOOKUP("industry|NOx|Work loss days", US_national_yearly!$D:$AM, 10, FALSE), 1)</f>
        <v>9.411682846902808E-2</v>
      </c>
      <c r="V15" s="7">
        <f>$B15 * IFERROR(VLOOKUP("industry|NOx|Work loss days", US_national_yearly!$D:$AM, 30, FALSE) / VLOOKUP("industry|NOx|Work loss days", US_national_yearly!$D:$AM, 10, FALSE), 1)</f>
        <v>9.4762717553904613E-2</v>
      </c>
      <c r="W15" s="7">
        <f>$B15 * IFERROR(VLOOKUP("industry|NOx|Work loss days", US_national_yearly!$D:$AM, 31, FALSE) / VLOOKUP("industry|NOx|Work loss days", US_national_yearly!$D:$AM, 10, FALSE), 1)</f>
        <v>9.5408606638781174E-2</v>
      </c>
      <c r="X15" s="7">
        <f>$B15 * IFERROR(VLOOKUP("industry|NOx|Work loss days", US_national_yearly!$D:$AM, 32, FALSE) / VLOOKUP("industry|NOx|Work loss days", US_national_yearly!$D:$AM, 10, FALSE), 1)</f>
        <v>9.5968937945291113E-2</v>
      </c>
      <c r="Y15" s="7">
        <f>$B15 * IFERROR(VLOOKUP("industry|NOx|Work loss days", US_national_yearly!$D:$AM, 33, FALSE) / VLOOKUP("industry|NOx|Work loss days", US_national_yearly!$D:$AM, 10, FALSE), 1)</f>
        <v>9.6529269251801053E-2</v>
      </c>
      <c r="Z15" s="7">
        <f>$B15 * IFERROR(VLOOKUP("industry|NOx|Work loss days", US_national_yearly!$D:$AM, 34, FALSE) / VLOOKUP("industry|NOx|Work loss days", US_national_yearly!$D:$AM, 10, FALSE), 1)</f>
        <v>9.7089600558310993E-2</v>
      </c>
      <c r="AA15" s="7">
        <f>$B15 * IFERROR(VLOOKUP("industry|NOx|Work loss days", US_national_yearly!$D:$AM, 35, FALSE) / VLOOKUP("industry|NOx|Work loss days", US_national_yearly!$D:$AM, 10, FALSE), 1)</f>
        <v>9.7649931864820932E-2</v>
      </c>
      <c r="AB15" s="7">
        <f>$B15 * IFERROR(VLOOKUP("industry|NOx|Work loss days", US_national_yearly!$D:$AM, 36, FALSE) / VLOOKUP("industry|NOx|Work loss days", US_national_yearly!$D:$AM, 10, FALSE), 1)</f>
        <v>9.8210263171330886E-2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1.2675566639488241E-4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1.3047755134408496E-4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1.3419943629328752E-4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1.3792132124249007E-4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1.4164320619169263E-4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1.4518057552808284E-4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1.4871794486447305E-4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1.5170020316884124E-4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1.546824614732094E-4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1.5766471977757753E-4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1.6064697808194572E-4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1.6362923638631386E-4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1.6549625280688903E-4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1.6736326922746415E-4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1.692302856480393E-4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1.7109730206861442E-4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1.7296431848918954E-4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1.738256098836932E-4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1.7468690127819686E-4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1.7554819267270056E-4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1.7640948406720422E-4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1.7727077546170788E-4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1.7775739908025925E-4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1.7824402269881061E-4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1.7873064631736201E-4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1.7921726993591335E-4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1.7970389355446474E-4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1.1562774738379648E-3</v>
      </c>
      <c r="C2" s="7">
        <f>$B2 * IFERROR(VLOOKUP("industry|SO2|Premature mortality", US_national_yearly!$D:$AM, 11, FALSE) / VLOOKUP("industry|SO2|Premature mortality", US_national_yearly!$D:$AM, 10, FALSE), 1)</f>
        <v>1.1709354908634054E-3</v>
      </c>
      <c r="D2" s="7">
        <f>$B2 * IFERROR(VLOOKUP("industry|SO2|Premature mortality", US_national_yearly!$D:$AM, 12, FALSE) / VLOOKUP("industry|SO2|Premature mortality", US_national_yearly!$D:$AM, 10, FALSE), 1)</f>
        <v>1.185593507888846E-3</v>
      </c>
      <c r="E2" s="7">
        <f>$B2 * IFERROR(VLOOKUP("industry|SO2|Premature mortality", US_national_yearly!$D:$AM, 13, FALSE) / VLOOKUP("industry|SO2|Premature mortality", US_national_yearly!$D:$AM, 10, FALSE), 1)</f>
        <v>1.2002515249142864E-3</v>
      </c>
      <c r="F2" s="7">
        <f>$B2 * IFERROR(VLOOKUP("industry|SO2|Premature mortality", US_national_yearly!$D:$AM, 14, FALSE) / VLOOKUP("industry|SO2|Premature mortality", US_national_yearly!$D:$AM, 10, FALSE), 1)</f>
        <v>1.2149095419397269E-3</v>
      </c>
      <c r="G2" s="7">
        <f>$B2 * IFERROR(VLOOKUP("industry|SO2|Premature mortality", US_national_yearly!$D:$AM, 15, FALSE) / VLOOKUP("industry|SO2|Premature mortality", US_national_yearly!$D:$AM, 10, FALSE), 1)</f>
        <v>1.2431623364325334E-3</v>
      </c>
      <c r="H2" s="7">
        <f>$B2 * IFERROR(VLOOKUP("industry|SO2|Premature mortality", US_national_yearly!$D:$AM, 16, FALSE) / VLOOKUP("industry|SO2|Premature mortality", US_national_yearly!$D:$AM, 10, FALSE), 1)</f>
        <v>1.2714151309253399E-3</v>
      </c>
      <c r="I2" s="7">
        <f>$B2 * IFERROR(VLOOKUP("industry|SO2|Premature mortality", US_national_yearly!$D:$AM, 17, FALSE) / VLOOKUP("industry|SO2|Premature mortality", US_national_yearly!$D:$AM, 10, FALSE), 1)</f>
        <v>1.2901233045087292E-3</v>
      </c>
      <c r="J2" s="7">
        <f>$B2 * IFERROR(VLOOKUP("industry|SO2|Premature mortality", US_national_yearly!$D:$AM, 18, FALSE) / VLOOKUP("industry|SO2|Premature mortality", US_national_yearly!$D:$AM, 10, FALSE), 1)</f>
        <v>1.3088314780921181E-3</v>
      </c>
      <c r="K2" s="7">
        <f>$B2 * IFERROR(VLOOKUP("industry|SO2|Premature mortality", US_national_yearly!$D:$AM, 19, FALSE) / VLOOKUP("industry|SO2|Premature mortality", US_national_yearly!$D:$AM, 10, FALSE), 1)</f>
        <v>1.3275396516755072E-3</v>
      </c>
      <c r="L2" s="7">
        <f>$B2 * IFERROR(VLOOKUP("industry|SO2|Premature mortality", US_national_yearly!$D:$AM, 20, FALSE) / VLOOKUP("industry|SO2|Premature mortality", US_national_yearly!$D:$AM, 10, FALSE), 1)</f>
        <v>1.3462478252588964E-3</v>
      </c>
      <c r="M2" s="7">
        <f>$B2 * IFERROR(VLOOKUP("industry|SO2|Premature mortality", US_national_yearly!$D:$AM, 21, FALSE) / VLOOKUP("industry|SO2|Premature mortality", US_national_yearly!$D:$AM, 10, FALSE), 1)</f>
        <v>1.3649559988422855E-3</v>
      </c>
      <c r="N2" s="7">
        <f>$B2 * IFERROR(VLOOKUP("industry|SO2|Premature mortality", US_national_yearly!$D:$AM, 22, FALSE) / VLOOKUP("industry|SO2|Premature mortality", US_national_yearly!$D:$AM, 10, FALSE), 1)</f>
        <v>1.3795902386653158E-3</v>
      </c>
      <c r="O2" s="7">
        <f>$B2 * IFERROR(VLOOKUP("industry|SO2|Premature mortality", US_national_yearly!$D:$AM, 23, FALSE) / VLOOKUP("industry|SO2|Premature mortality", US_national_yearly!$D:$AM, 10, FALSE), 1)</f>
        <v>1.3942244784883463E-3</v>
      </c>
      <c r="P2" s="7">
        <f>$B2 * IFERROR(VLOOKUP("industry|SO2|Premature mortality", US_national_yearly!$D:$AM, 24, FALSE) / VLOOKUP("industry|SO2|Premature mortality", US_national_yearly!$D:$AM, 10, FALSE), 1)</f>
        <v>1.4088587183113766E-3</v>
      </c>
      <c r="Q2" s="7">
        <f>$B2 * IFERROR(VLOOKUP("industry|SO2|Premature mortality", US_national_yearly!$D:$AM, 25, FALSE) / VLOOKUP("industry|SO2|Premature mortality", US_national_yearly!$D:$AM, 10, FALSE), 1)</f>
        <v>1.423492958134407E-3</v>
      </c>
      <c r="R2" s="7">
        <f>$B2 * IFERROR(VLOOKUP("industry|SO2|Premature mortality", US_national_yearly!$D:$AM, 26, FALSE) / VLOOKUP("industry|SO2|Premature mortality", US_national_yearly!$D:$AM, 10, FALSE), 1)</f>
        <v>1.4381271979574373E-3</v>
      </c>
      <c r="S2" s="7">
        <f>$B2 * IFERROR(VLOOKUP("industry|SO2|Premature mortality", US_national_yearly!$D:$AM, 27, FALSE) / VLOOKUP("industry|SO2|Premature mortality", US_national_yearly!$D:$AM, 10, FALSE), 1)</f>
        <v>1.4460288812515962E-3</v>
      </c>
      <c r="T2" s="7">
        <f>$B2 * IFERROR(VLOOKUP("industry|SO2|Premature mortality", US_national_yearly!$D:$AM, 28, FALSE) / VLOOKUP("industry|SO2|Premature mortality", US_national_yearly!$D:$AM, 10, FALSE), 1)</f>
        <v>1.4539305645457554E-3</v>
      </c>
      <c r="U2" s="7">
        <f>$B2 * IFERROR(VLOOKUP("industry|SO2|Premature mortality", US_national_yearly!$D:$AM, 29, FALSE) / VLOOKUP("industry|SO2|Premature mortality", US_national_yearly!$D:$AM, 10, FALSE), 1)</f>
        <v>1.4618322478399148E-3</v>
      </c>
      <c r="V2" s="7">
        <f>$B2 * IFERROR(VLOOKUP("industry|SO2|Premature mortality", US_national_yearly!$D:$AM, 30, FALSE) / VLOOKUP("industry|SO2|Premature mortality", US_national_yearly!$D:$AM, 10, FALSE), 1)</f>
        <v>1.4697339311340739E-3</v>
      </c>
      <c r="W2" s="7">
        <f>$B2 * IFERROR(VLOOKUP("industry|SO2|Premature mortality", US_national_yearly!$D:$AM, 31, FALSE) / VLOOKUP("industry|SO2|Premature mortality", US_national_yearly!$D:$AM, 10, FALSE), 1)</f>
        <v>1.477635614428233E-3</v>
      </c>
      <c r="X2" s="7">
        <f>$B2 * IFERROR(VLOOKUP("industry|SO2|Premature mortality", US_national_yearly!$D:$AM, 32, FALSE) / VLOOKUP("industry|SO2|Premature mortality", US_national_yearly!$D:$AM, 10, FALSE), 1)</f>
        <v>1.4793362977843657E-3</v>
      </c>
      <c r="Y2" s="7">
        <f>$B2 * IFERROR(VLOOKUP("industry|SO2|Premature mortality", US_national_yearly!$D:$AM, 33, FALSE) / VLOOKUP("industry|SO2|Premature mortality", US_national_yearly!$D:$AM, 10, FALSE), 1)</f>
        <v>1.4810369811404983E-3</v>
      </c>
      <c r="Z2" s="7">
        <f>$B2 * IFERROR(VLOOKUP("industry|SO2|Premature mortality", US_national_yearly!$D:$AM, 34, FALSE) / VLOOKUP("industry|SO2|Premature mortality", US_national_yearly!$D:$AM, 10, FALSE), 1)</f>
        <v>1.4827376644966309E-3</v>
      </c>
      <c r="AA2" s="7">
        <f>$B2 * IFERROR(VLOOKUP("industry|SO2|Premature mortality", US_national_yearly!$D:$AM, 35, FALSE) / VLOOKUP("industry|SO2|Premature mortality", US_national_yearly!$D:$AM, 10, FALSE), 1)</f>
        <v>1.4844383478527636E-3</v>
      </c>
      <c r="AB2" s="7">
        <f>$B2 * IFERROR(VLOOKUP("industry|SO2|Premature mortality", US_national_yearly!$D:$AM, 36, FALSE) / VLOOKUP("industry|SO2|Premature mortality", US_national_yearly!$D:$AM, 10, FALSE), 1)</f>
        <v>1.4861390312088962E-3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2.521235684643914E-6</v>
      </c>
      <c r="C3" s="7">
        <f>$B3 * IFERROR(VLOOKUP("industry|SO2|Infant mortality", US_national_yearly!$D:$AM, 11, FALSE) / VLOOKUP("industry|SO2|Infant mortality", US_national_yearly!$D:$AM, 10, FALSE), 1)</f>
        <v>2.4995452996193959E-6</v>
      </c>
      <c r="D3" s="7">
        <f>$B3 * IFERROR(VLOOKUP("industry|SO2|Infant mortality", US_national_yearly!$D:$AM, 12, FALSE) / VLOOKUP("industry|SO2|Infant mortality", US_national_yearly!$D:$AM, 10, FALSE), 1)</f>
        <v>2.4778549145948782E-6</v>
      </c>
      <c r="E3" s="7">
        <f>$B3 * IFERROR(VLOOKUP("industry|SO2|Infant mortality", US_national_yearly!$D:$AM, 13, FALSE) / VLOOKUP("industry|SO2|Infant mortality", US_national_yearly!$D:$AM, 10, FALSE), 1)</f>
        <v>2.4561645295703605E-6</v>
      </c>
      <c r="F3" s="7">
        <f>$B3 * IFERROR(VLOOKUP("industry|SO2|Infant mortality", US_national_yearly!$D:$AM, 14, FALSE) / VLOOKUP("industry|SO2|Infant mortality", US_national_yearly!$D:$AM, 10, FALSE), 1)</f>
        <v>2.4344741445458428E-6</v>
      </c>
      <c r="G3" s="7">
        <f>$B3 * IFERROR(VLOOKUP("industry|SO2|Infant mortality", US_national_yearly!$D:$AM, 15, FALSE) / VLOOKUP("industry|SO2|Infant mortality", US_national_yearly!$D:$AM, 10, FALSE), 1)</f>
        <v>1.6206254120545987E-6</v>
      </c>
      <c r="H3" s="7">
        <f>$B3 * IFERROR(VLOOKUP("industry|SO2|Infant mortality", US_national_yearly!$D:$AM, 16, FALSE) / VLOOKUP("industry|SO2|Infant mortality", US_national_yearly!$D:$AM, 10, FALSE), 1)</f>
        <v>8.0677667956335489E-7</v>
      </c>
      <c r="I3" s="7">
        <f>$B3 * IFERROR(VLOOKUP("industry|SO2|Infant mortality", US_national_yearly!$D:$AM, 17, FALSE) / VLOOKUP("industry|SO2|Infant mortality", US_national_yearly!$D:$AM, 10, FALSE), 1)</f>
        <v>8.0165371645870139E-7</v>
      </c>
      <c r="J3" s="7">
        <f>$B3 * IFERROR(VLOOKUP("industry|SO2|Infant mortality", US_national_yearly!$D:$AM, 18, FALSE) / VLOOKUP("industry|SO2|Infant mortality", US_national_yearly!$D:$AM, 10, FALSE), 1)</f>
        <v>7.9653075335404789E-7</v>
      </c>
      <c r="K3" s="7">
        <f>$B3 * IFERROR(VLOOKUP("industry|SO2|Infant mortality", US_national_yearly!$D:$AM, 19, FALSE) / VLOOKUP("industry|SO2|Infant mortality", US_national_yearly!$D:$AM, 10, FALSE), 1)</f>
        <v>7.9140779024939439E-7</v>
      </c>
      <c r="L3" s="7">
        <f>$B3 * IFERROR(VLOOKUP("industry|SO2|Infant mortality", US_national_yearly!$D:$AM, 20, FALSE) / VLOOKUP("industry|SO2|Infant mortality", US_national_yearly!$D:$AM, 10, FALSE), 1)</f>
        <v>7.8628482714474079E-7</v>
      </c>
      <c r="M3" s="7">
        <f>$B3 * IFERROR(VLOOKUP("industry|SO2|Infant mortality", US_national_yearly!$D:$AM, 21, FALSE) / VLOOKUP("industry|SO2|Infant mortality", US_national_yearly!$D:$AM, 10, FALSE), 1)</f>
        <v>7.8116186404008729E-7</v>
      </c>
      <c r="N3" s="7">
        <f>$B3 * IFERROR(VLOOKUP("industry|SO2|Infant mortality", US_national_yearly!$D:$AM, 22, FALSE) / VLOOKUP("industry|SO2|Infant mortality", US_national_yearly!$D:$AM, 10, FALSE), 1)</f>
        <v>7.7791490595694528E-7</v>
      </c>
      <c r="O3" s="7">
        <f>$B3 * IFERROR(VLOOKUP("industry|SO2|Infant mortality", US_national_yearly!$D:$AM, 23, FALSE) / VLOOKUP("industry|SO2|Infant mortality", US_national_yearly!$D:$AM, 10, FALSE), 1)</f>
        <v>7.7466794787380327E-7</v>
      </c>
      <c r="P3" s="7">
        <f>$B3 * IFERROR(VLOOKUP("industry|SO2|Infant mortality", US_national_yearly!$D:$AM, 24, FALSE) / VLOOKUP("industry|SO2|Infant mortality", US_national_yearly!$D:$AM, 10, FALSE), 1)</f>
        <v>7.7142098979066126E-7</v>
      </c>
      <c r="Q3" s="7">
        <f>$B3 * IFERROR(VLOOKUP("industry|SO2|Infant mortality", US_national_yearly!$D:$AM, 25, FALSE) / VLOOKUP("industry|SO2|Infant mortality", US_national_yearly!$D:$AM, 10, FALSE), 1)</f>
        <v>7.6817403170751925E-7</v>
      </c>
      <c r="R3" s="7">
        <f>$B3 * IFERROR(VLOOKUP("industry|SO2|Infant mortality", US_national_yearly!$D:$AM, 26, FALSE) / VLOOKUP("industry|SO2|Infant mortality", US_national_yearly!$D:$AM, 10, FALSE), 1)</f>
        <v>7.6492707362437724E-7</v>
      </c>
      <c r="S3" s="7">
        <f>$B3 * IFERROR(VLOOKUP("industry|SO2|Infant mortality", US_national_yearly!$D:$AM, 27, FALSE) / VLOOKUP("industry|SO2|Infant mortality", US_national_yearly!$D:$AM, 10, FALSE), 1)</f>
        <v>7.6088627133017932E-7</v>
      </c>
      <c r="T3" s="7">
        <f>$B3 * IFERROR(VLOOKUP("industry|SO2|Infant mortality", US_national_yearly!$D:$AM, 28, FALSE) / VLOOKUP("industry|SO2|Infant mortality", US_national_yearly!$D:$AM, 10, FALSE), 1)</f>
        <v>7.568454690359813E-7</v>
      </c>
      <c r="U3" s="7">
        <f>$B3 * IFERROR(VLOOKUP("industry|SO2|Infant mortality", US_national_yearly!$D:$AM, 29, FALSE) / VLOOKUP("industry|SO2|Infant mortality", US_national_yearly!$D:$AM, 10, FALSE), 1)</f>
        <v>7.5280466674178339E-7</v>
      </c>
      <c r="V3" s="7">
        <f>$B3 * IFERROR(VLOOKUP("industry|SO2|Infant mortality", US_national_yearly!$D:$AM, 30, FALSE) / VLOOKUP("industry|SO2|Infant mortality", US_national_yearly!$D:$AM, 10, FALSE), 1)</f>
        <v>7.4876386444758537E-7</v>
      </c>
      <c r="W3" s="7">
        <f>$B3 * IFERROR(VLOOKUP("industry|SO2|Infant mortality", US_national_yearly!$D:$AM, 31, FALSE) / VLOOKUP("industry|SO2|Infant mortality", US_national_yearly!$D:$AM, 10, FALSE), 1)</f>
        <v>7.4472306215338735E-7</v>
      </c>
      <c r="X3" s="7">
        <f>$B3 * IFERROR(VLOOKUP("industry|SO2|Infant mortality", US_national_yearly!$D:$AM, 32, FALSE) / VLOOKUP("industry|SO2|Infant mortality", US_national_yearly!$D:$AM, 10, FALSE), 1)</f>
        <v>7.4033191592022789E-7</v>
      </c>
      <c r="Y3" s="7">
        <f>$B3 * IFERROR(VLOOKUP("industry|SO2|Infant mortality", US_national_yearly!$D:$AM, 33, FALSE) / VLOOKUP("industry|SO2|Infant mortality", US_national_yearly!$D:$AM, 10, FALSE), 1)</f>
        <v>7.3594076968706833E-7</v>
      </c>
      <c r="Z3" s="7">
        <f>$B3 * IFERROR(VLOOKUP("industry|SO2|Infant mortality", US_national_yearly!$D:$AM, 34, FALSE) / VLOOKUP("industry|SO2|Infant mortality", US_national_yearly!$D:$AM, 10, FALSE), 1)</f>
        <v>7.3154962345390888E-7</v>
      </c>
      <c r="AA3" s="7">
        <f>$B3 * IFERROR(VLOOKUP("industry|SO2|Infant mortality", US_national_yearly!$D:$AM, 35, FALSE) / VLOOKUP("industry|SO2|Infant mortality", US_national_yearly!$D:$AM, 10, FALSE), 1)</f>
        <v>7.2715847722074932E-7</v>
      </c>
      <c r="AB3" s="7">
        <f>$B3 * IFERROR(VLOOKUP("industry|SO2|Infant mortality", US_national_yearly!$D:$AM, 36, FALSE) / VLOOKUP("industry|SO2|Infant mortality", US_national_yearly!$D:$AM, 10, FALSE), 1)</f>
        <v>7.2276733098758987E-7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2.8426750841479124E-3</v>
      </c>
      <c r="C6" s="7">
        <f>$B6 * IFERROR(VLOOKUP("industry|SO2|Asthma symptoms cough", US_national_yearly!$D:$AM, 11, FALSE) / VLOOKUP("industry|SO2|Asthma symptoms cough", US_national_yearly!$D:$AM, 10, FALSE), 1)</f>
        <v>2.8426750841479124E-3</v>
      </c>
      <c r="D6" s="7">
        <f>$B6 * IFERROR(VLOOKUP("industry|SO2|Asthma symptoms cough", US_national_yearly!$D:$AM, 12, FALSE) / VLOOKUP("industry|SO2|Asthma symptoms cough", US_national_yearly!$D:$AM, 10, FALSE), 1)</f>
        <v>2.8426750841479124E-3</v>
      </c>
      <c r="E6" s="7">
        <f>$B6 * IFERROR(VLOOKUP("industry|SO2|Asthma symptoms cough", US_national_yearly!$D:$AM, 13, FALSE) / VLOOKUP("industry|SO2|Asthma symptoms cough", US_national_yearly!$D:$AM, 10, FALSE), 1)</f>
        <v>2.8426750841479124E-3</v>
      </c>
      <c r="F6" s="7">
        <f>$B6 * IFERROR(VLOOKUP("industry|SO2|Asthma symptoms cough", US_national_yearly!$D:$AM, 14, FALSE) / VLOOKUP("industry|SO2|Asthma symptoms cough", US_national_yearly!$D:$AM, 10, FALSE), 1)</f>
        <v>2.8426750841479124E-3</v>
      </c>
      <c r="G6" s="7">
        <f>$B6 * IFERROR(VLOOKUP("industry|SO2|Asthma symptoms cough", US_national_yearly!$D:$AM, 15, FALSE) / VLOOKUP("industry|SO2|Asthma symptoms cough", US_national_yearly!$D:$AM, 10, FALSE), 1)</f>
        <v>2.8426750841479124E-3</v>
      </c>
      <c r="H6" s="7">
        <f>$B6 * IFERROR(VLOOKUP("industry|SO2|Asthma symptoms cough", US_national_yearly!$D:$AM, 16, FALSE) / VLOOKUP("industry|SO2|Asthma symptoms cough", US_national_yearly!$D:$AM, 10, FALSE), 1)</f>
        <v>2.8426750841479124E-3</v>
      </c>
      <c r="I6" s="7">
        <f>$B6 * IFERROR(VLOOKUP("industry|SO2|Asthma symptoms cough", US_national_yearly!$D:$AM, 17, FALSE) / VLOOKUP("industry|SO2|Asthma symptoms cough", US_national_yearly!$D:$AM, 10, FALSE), 1)</f>
        <v>2.8426750841479124E-3</v>
      </c>
      <c r="J6" s="7">
        <f>$B6 * IFERROR(VLOOKUP("industry|SO2|Asthma symptoms cough", US_national_yearly!$D:$AM, 18, FALSE) / VLOOKUP("industry|SO2|Asthma symptoms cough", US_national_yearly!$D:$AM, 10, FALSE), 1)</f>
        <v>2.8426750841479124E-3</v>
      </c>
      <c r="K6" s="7">
        <f>$B6 * IFERROR(VLOOKUP("industry|SO2|Asthma symptoms cough", US_national_yearly!$D:$AM, 19, FALSE) / VLOOKUP("industry|SO2|Asthma symptoms cough", US_national_yearly!$D:$AM, 10, FALSE), 1)</f>
        <v>2.8426750841479124E-3</v>
      </c>
      <c r="L6" s="7">
        <f>$B6 * IFERROR(VLOOKUP("industry|SO2|Asthma symptoms cough", US_national_yearly!$D:$AM, 20, FALSE) / VLOOKUP("industry|SO2|Asthma symptoms cough", US_national_yearly!$D:$AM, 10, FALSE), 1)</f>
        <v>2.8426750841479124E-3</v>
      </c>
      <c r="M6" s="7">
        <f>$B6 * IFERROR(VLOOKUP("industry|SO2|Asthma symptoms cough", US_national_yearly!$D:$AM, 21, FALSE) / VLOOKUP("industry|SO2|Asthma symptoms cough", US_national_yearly!$D:$AM, 10, FALSE), 1)</f>
        <v>2.8426750841479124E-3</v>
      </c>
      <c r="N6" s="7">
        <f>$B6 * IFERROR(VLOOKUP("industry|SO2|Asthma symptoms cough", US_national_yearly!$D:$AM, 22, FALSE) / VLOOKUP("industry|SO2|Asthma symptoms cough", US_national_yearly!$D:$AM, 10, FALSE), 1)</f>
        <v>2.8426750841479124E-3</v>
      </c>
      <c r="O6" s="7">
        <f>$B6 * IFERROR(VLOOKUP("industry|SO2|Asthma symptoms cough", US_national_yearly!$D:$AM, 23, FALSE) / VLOOKUP("industry|SO2|Asthma symptoms cough", US_national_yearly!$D:$AM, 10, FALSE), 1)</f>
        <v>2.8426750841479124E-3</v>
      </c>
      <c r="P6" s="7">
        <f>$B6 * IFERROR(VLOOKUP("industry|SO2|Asthma symptoms cough", US_national_yearly!$D:$AM, 24, FALSE) / VLOOKUP("industry|SO2|Asthma symptoms cough", US_national_yearly!$D:$AM, 10, FALSE), 1)</f>
        <v>2.8426750841479124E-3</v>
      </c>
      <c r="Q6" s="7">
        <f>$B6 * IFERROR(VLOOKUP("industry|SO2|Asthma symptoms cough", US_national_yearly!$D:$AM, 25, FALSE) / VLOOKUP("industry|SO2|Asthma symptoms cough", US_national_yearly!$D:$AM, 10, FALSE), 1)</f>
        <v>2.8426750841479124E-3</v>
      </c>
      <c r="R6" s="7">
        <f>$B6 * IFERROR(VLOOKUP("industry|SO2|Asthma symptoms cough", US_national_yearly!$D:$AM, 26, FALSE) / VLOOKUP("industry|SO2|Asthma symptoms cough", US_national_yearly!$D:$AM, 10, FALSE), 1)</f>
        <v>2.8426750841479124E-3</v>
      </c>
      <c r="S6" s="7">
        <f>$B6 * IFERROR(VLOOKUP("industry|SO2|Asthma symptoms cough", US_national_yearly!$D:$AM, 27, FALSE) / VLOOKUP("industry|SO2|Asthma symptoms cough", US_national_yearly!$D:$AM, 10, FALSE), 1)</f>
        <v>2.8426750841479124E-3</v>
      </c>
      <c r="T6" s="7">
        <f>$B6 * IFERROR(VLOOKUP("industry|SO2|Asthma symptoms cough", US_national_yearly!$D:$AM, 28, FALSE) / VLOOKUP("industry|SO2|Asthma symptoms cough", US_national_yearly!$D:$AM, 10, FALSE), 1)</f>
        <v>2.8426750841479124E-3</v>
      </c>
      <c r="U6" s="7">
        <f>$B6 * IFERROR(VLOOKUP("industry|SO2|Asthma symptoms cough", US_national_yearly!$D:$AM, 29, FALSE) / VLOOKUP("industry|SO2|Asthma symptoms cough", US_national_yearly!$D:$AM, 10, FALSE), 1)</f>
        <v>2.8426750841479124E-3</v>
      </c>
      <c r="V6" s="7">
        <f>$B6 * IFERROR(VLOOKUP("industry|SO2|Asthma symptoms cough", US_national_yearly!$D:$AM, 30, FALSE) / VLOOKUP("industry|SO2|Asthma symptoms cough", US_national_yearly!$D:$AM, 10, FALSE), 1)</f>
        <v>2.8426750841479124E-3</v>
      </c>
      <c r="W6" s="7">
        <f>$B6 * IFERROR(VLOOKUP("industry|SO2|Asthma symptoms cough", US_national_yearly!$D:$AM, 31, FALSE) / VLOOKUP("industry|SO2|Asthma symptoms cough", US_national_yearly!$D:$AM, 10, FALSE), 1)</f>
        <v>2.8426750841479124E-3</v>
      </c>
      <c r="X6" s="7">
        <f>$B6 * IFERROR(VLOOKUP("industry|SO2|Asthma symptoms cough", US_national_yearly!$D:$AM, 32, FALSE) / VLOOKUP("industry|SO2|Asthma symptoms cough", US_national_yearly!$D:$AM, 10, FALSE), 1)</f>
        <v>2.8426750841479124E-3</v>
      </c>
      <c r="Y6" s="7">
        <f>$B6 * IFERROR(VLOOKUP("industry|SO2|Asthma symptoms cough", US_national_yearly!$D:$AM, 33, FALSE) / VLOOKUP("industry|SO2|Asthma symptoms cough", US_national_yearly!$D:$AM, 10, FALSE), 1)</f>
        <v>2.8426750841479124E-3</v>
      </c>
      <c r="Z6" s="7">
        <f>$B6 * IFERROR(VLOOKUP("industry|SO2|Asthma symptoms cough", US_national_yearly!$D:$AM, 34, FALSE) / VLOOKUP("industry|SO2|Asthma symptoms cough", US_national_yearly!$D:$AM, 10, FALSE), 1)</f>
        <v>2.8426750841479124E-3</v>
      </c>
      <c r="AA6" s="7">
        <f>$B6 * IFERROR(VLOOKUP("industry|SO2|Asthma symptoms cough", US_national_yearly!$D:$AM, 35, FALSE) / VLOOKUP("industry|SO2|Asthma symptoms cough", US_national_yearly!$D:$AM, 10, FALSE), 1)</f>
        <v>2.8426750841479124E-3</v>
      </c>
      <c r="AB6" s="7">
        <f>$B6 * IFERROR(VLOOKUP("industry|SO2|Asthma symptoms cough", US_national_yearly!$D:$AM, 36, FALSE) / VLOOKUP("industry|SO2|Asthma symptoms cough", US_national_yearly!$D:$AM, 10, FALSE), 1)</f>
        <v>2.8426750841479124E-3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3.8280693895880145E-3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3.8280693895880145E-3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3.8280693895880145E-3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3.8280693895880145E-3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3.8280693895880145E-3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3.8280693895880145E-3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3.8280693895880145E-3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3.8280693895880145E-3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3.8280693895880145E-3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3.8280693895880145E-3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3.8280693895880145E-3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3.8280693895880145E-3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3.8280693895880145E-3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3.8280693895880145E-3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3.8280693895880145E-3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3.8280693895880145E-3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3.8280693895880145E-3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3.8280693895880145E-3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3.8280693895880145E-3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3.8280693895880145E-3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3.8280693895880145E-3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3.8280693895880145E-3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3.8280693895880145E-3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3.8280693895880145E-3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3.8280693895880145E-3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3.8280693895880145E-3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3.8280693895880145E-3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5.8486594439556743E-3</v>
      </c>
      <c r="C8" s="7">
        <f>$B8 * IFERROR(VLOOKUP("industry|SO2|Asthma symptoms wheeze", US_national_yearly!$D:$AM, 11, FALSE) / VLOOKUP("industry|SO2|Asthma symptoms wheeze", US_national_yearly!$D:$AM, 10, FALSE), 1)</f>
        <v>5.8486594439556743E-3</v>
      </c>
      <c r="D8" s="7">
        <f>$B8 * IFERROR(VLOOKUP("industry|SO2|Asthma symptoms wheeze", US_national_yearly!$D:$AM, 12, FALSE) / VLOOKUP("industry|SO2|Asthma symptoms wheeze", US_national_yearly!$D:$AM, 10, FALSE), 1)</f>
        <v>5.8486594439556743E-3</v>
      </c>
      <c r="E8" s="7">
        <f>$B8 * IFERROR(VLOOKUP("industry|SO2|Asthma symptoms wheeze", US_national_yearly!$D:$AM, 13, FALSE) / VLOOKUP("industry|SO2|Asthma symptoms wheeze", US_national_yearly!$D:$AM, 10, FALSE), 1)</f>
        <v>5.8486594439556743E-3</v>
      </c>
      <c r="F8" s="7">
        <f>$B8 * IFERROR(VLOOKUP("industry|SO2|Asthma symptoms wheeze", US_national_yearly!$D:$AM, 14, FALSE) / VLOOKUP("industry|SO2|Asthma symptoms wheeze", US_national_yearly!$D:$AM, 10, FALSE), 1)</f>
        <v>5.8486594439556743E-3</v>
      </c>
      <c r="G8" s="7">
        <f>$B8 * IFERROR(VLOOKUP("industry|SO2|Asthma symptoms wheeze", US_national_yearly!$D:$AM, 15, FALSE) / VLOOKUP("industry|SO2|Asthma symptoms wheeze", US_national_yearly!$D:$AM, 10, FALSE), 1)</f>
        <v>5.8486594439556743E-3</v>
      </c>
      <c r="H8" s="7">
        <f>$B8 * IFERROR(VLOOKUP("industry|SO2|Asthma symptoms wheeze", US_national_yearly!$D:$AM, 16, FALSE) / VLOOKUP("industry|SO2|Asthma symptoms wheeze", US_national_yearly!$D:$AM, 10, FALSE), 1)</f>
        <v>5.8486594439556743E-3</v>
      </c>
      <c r="I8" s="7">
        <f>$B8 * IFERROR(VLOOKUP("industry|SO2|Asthma symptoms wheeze", US_national_yearly!$D:$AM, 17, FALSE) / VLOOKUP("industry|SO2|Asthma symptoms wheeze", US_national_yearly!$D:$AM, 10, FALSE), 1)</f>
        <v>5.8486594439556743E-3</v>
      </c>
      <c r="J8" s="7">
        <f>$B8 * IFERROR(VLOOKUP("industry|SO2|Asthma symptoms wheeze", US_national_yearly!$D:$AM, 18, FALSE) / VLOOKUP("industry|SO2|Asthma symptoms wheeze", US_national_yearly!$D:$AM, 10, FALSE), 1)</f>
        <v>5.8486594439556743E-3</v>
      </c>
      <c r="K8" s="7">
        <f>$B8 * IFERROR(VLOOKUP("industry|SO2|Asthma symptoms wheeze", US_national_yearly!$D:$AM, 19, FALSE) / VLOOKUP("industry|SO2|Asthma symptoms wheeze", US_national_yearly!$D:$AM, 10, FALSE), 1)</f>
        <v>5.8486594439556743E-3</v>
      </c>
      <c r="L8" s="7">
        <f>$B8 * IFERROR(VLOOKUP("industry|SO2|Asthma symptoms wheeze", US_national_yearly!$D:$AM, 20, FALSE) / VLOOKUP("industry|SO2|Asthma symptoms wheeze", US_national_yearly!$D:$AM, 10, FALSE), 1)</f>
        <v>5.8486594439556743E-3</v>
      </c>
      <c r="M8" s="7">
        <f>$B8 * IFERROR(VLOOKUP("industry|SO2|Asthma symptoms wheeze", US_national_yearly!$D:$AM, 21, FALSE) / VLOOKUP("industry|SO2|Asthma symptoms wheeze", US_national_yearly!$D:$AM, 10, FALSE), 1)</f>
        <v>5.8486594439556743E-3</v>
      </c>
      <c r="N8" s="7">
        <f>$B8 * IFERROR(VLOOKUP("industry|SO2|Asthma symptoms wheeze", US_national_yearly!$D:$AM, 22, FALSE) / VLOOKUP("industry|SO2|Asthma symptoms wheeze", US_national_yearly!$D:$AM, 10, FALSE), 1)</f>
        <v>5.8486594439556743E-3</v>
      </c>
      <c r="O8" s="7">
        <f>$B8 * IFERROR(VLOOKUP("industry|SO2|Asthma symptoms wheeze", US_national_yearly!$D:$AM, 23, FALSE) / VLOOKUP("industry|SO2|Asthma symptoms wheeze", US_national_yearly!$D:$AM, 10, FALSE), 1)</f>
        <v>5.8486594439556743E-3</v>
      </c>
      <c r="P8" s="7">
        <f>$B8 * IFERROR(VLOOKUP("industry|SO2|Asthma symptoms wheeze", US_national_yearly!$D:$AM, 24, FALSE) / VLOOKUP("industry|SO2|Asthma symptoms wheeze", US_national_yearly!$D:$AM, 10, FALSE), 1)</f>
        <v>5.8486594439556743E-3</v>
      </c>
      <c r="Q8" s="7">
        <f>$B8 * IFERROR(VLOOKUP("industry|SO2|Asthma symptoms wheeze", US_national_yearly!$D:$AM, 25, FALSE) / VLOOKUP("industry|SO2|Asthma symptoms wheeze", US_national_yearly!$D:$AM, 10, FALSE), 1)</f>
        <v>5.8486594439556743E-3</v>
      </c>
      <c r="R8" s="7">
        <f>$B8 * IFERROR(VLOOKUP("industry|SO2|Asthma symptoms wheeze", US_national_yearly!$D:$AM, 26, FALSE) / VLOOKUP("industry|SO2|Asthma symptoms wheeze", US_national_yearly!$D:$AM, 10, FALSE), 1)</f>
        <v>5.8486594439556743E-3</v>
      </c>
      <c r="S8" s="7">
        <f>$B8 * IFERROR(VLOOKUP("industry|SO2|Asthma symptoms wheeze", US_national_yearly!$D:$AM, 27, FALSE) / VLOOKUP("industry|SO2|Asthma symptoms wheeze", US_national_yearly!$D:$AM, 10, FALSE), 1)</f>
        <v>5.8486594439556743E-3</v>
      </c>
      <c r="T8" s="7">
        <f>$B8 * IFERROR(VLOOKUP("industry|SO2|Asthma symptoms wheeze", US_national_yearly!$D:$AM, 28, FALSE) / VLOOKUP("industry|SO2|Asthma symptoms wheeze", US_national_yearly!$D:$AM, 10, FALSE), 1)</f>
        <v>5.8486594439556743E-3</v>
      </c>
      <c r="U8" s="7">
        <f>$B8 * IFERROR(VLOOKUP("industry|SO2|Asthma symptoms wheeze", US_national_yearly!$D:$AM, 29, FALSE) / VLOOKUP("industry|SO2|Asthma symptoms wheeze", US_national_yearly!$D:$AM, 10, FALSE), 1)</f>
        <v>5.8486594439556743E-3</v>
      </c>
      <c r="V8" s="7">
        <f>$B8 * IFERROR(VLOOKUP("industry|SO2|Asthma symptoms wheeze", US_national_yearly!$D:$AM, 30, FALSE) / VLOOKUP("industry|SO2|Asthma symptoms wheeze", US_national_yearly!$D:$AM, 10, FALSE), 1)</f>
        <v>5.8486594439556743E-3</v>
      </c>
      <c r="W8" s="7">
        <f>$B8 * IFERROR(VLOOKUP("industry|SO2|Asthma symptoms wheeze", US_national_yearly!$D:$AM, 31, FALSE) / VLOOKUP("industry|SO2|Asthma symptoms wheeze", US_national_yearly!$D:$AM, 10, FALSE), 1)</f>
        <v>5.8486594439556743E-3</v>
      </c>
      <c r="X8" s="7">
        <f>$B8 * IFERROR(VLOOKUP("industry|SO2|Asthma symptoms wheeze", US_national_yearly!$D:$AM, 32, FALSE) / VLOOKUP("industry|SO2|Asthma symptoms wheeze", US_national_yearly!$D:$AM, 10, FALSE), 1)</f>
        <v>5.8486594439556743E-3</v>
      </c>
      <c r="Y8" s="7">
        <f>$B8 * IFERROR(VLOOKUP("industry|SO2|Asthma symptoms wheeze", US_national_yearly!$D:$AM, 33, FALSE) / VLOOKUP("industry|SO2|Asthma symptoms wheeze", US_national_yearly!$D:$AM, 10, FALSE), 1)</f>
        <v>5.8486594439556743E-3</v>
      </c>
      <c r="Z8" s="7">
        <f>$B8 * IFERROR(VLOOKUP("industry|SO2|Asthma symptoms wheeze", US_national_yearly!$D:$AM, 34, FALSE) / VLOOKUP("industry|SO2|Asthma symptoms wheeze", US_national_yearly!$D:$AM, 10, FALSE), 1)</f>
        <v>5.8486594439556743E-3</v>
      </c>
      <c r="AA8" s="7">
        <f>$B8 * IFERROR(VLOOKUP("industry|SO2|Asthma symptoms wheeze", US_national_yearly!$D:$AM, 35, FALSE) / VLOOKUP("industry|SO2|Asthma symptoms wheeze", US_national_yearly!$D:$AM, 10, FALSE), 1)</f>
        <v>5.8486594439556743E-3</v>
      </c>
      <c r="AB8" s="7">
        <f>$B8 * IFERROR(VLOOKUP("industry|SO2|Asthma symptoms wheeze", US_national_yearly!$D:$AM, 36, FALSE) / VLOOKUP("industry|SO2|Asthma symptoms wheeze", US_national_yearly!$D:$AM, 10, FALSE), 1)</f>
        <v>5.8486594439556743E-3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8.8944994959230301E-5</v>
      </c>
      <c r="C12" s="7">
        <f>$B12 * IFERROR(VLOOKUP("industry|SO2|Respiratory hospital admissions", US_national_yearly!$D:$AM, 11, FALSE) / VLOOKUP("industry|SO2|Respiratory hospital admissions", US_national_yearly!$D:$AM, 10, FALSE), 1)</f>
        <v>8.9466042829107977E-5</v>
      </c>
      <c r="D12" s="7">
        <f>$B12 * IFERROR(VLOOKUP("industry|SO2|Respiratory hospital admissions", US_national_yearly!$D:$AM, 12, FALSE) / VLOOKUP("industry|SO2|Respiratory hospital admissions", US_national_yearly!$D:$AM, 10, FALSE), 1)</f>
        <v>8.9987090698985653E-5</v>
      </c>
      <c r="E12" s="7">
        <f>$B12 * IFERROR(VLOOKUP("industry|SO2|Respiratory hospital admissions", US_national_yearly!$D:$AM, 13, FALSE) / VLOOKUP("industry|SO2|Respiratory hospital admissions", US_national_yearly!$D:$AM, 10, FALSE), 1)</f>
        <v>9.0508138568863328E-5</v>
      </c>
      <c r="F12" s="7">
        <f>$B12 * IFERROR(VLOOKUP("industry|SO2|Respiratory hospital admissions", US_national_yearly!$D:$AM, 14, FALSE) / VLOOKUP("industry|SO2|Respiratory hospital admissions", US_national_yearly!$D:$AM, 10, FALSE), 1)</f>
        <v>9.1029186438741031E-5</v>
      </c>
      <c r="G12" s="7">
        <f>$B12 * IFERROR(VLOOKUP("industry|SO2|Respiratory hospital admissions", US_national_yearly!$D:$AM, 15, FALSE) / VLOOKUP("industry|SO2|Respiratory hospital admissions", US_national_yearly!$D:$AM, 10, FALSE), 1)</f>
        <v>9.1597229409544052E-5</v>
      </c>
      <c r="H12" s="7">
        <f>$B12 * IFERROR(VLOOKUP("industry|SO2|Respiratory hospital admissions", US_national_yearly!$D:$AM, 16, FALSE) / VLOOKUP("industry|SO2|Respiratory hospital admissions", US_national_yearly!$D:$AM, 10, FALSE), 1)</f>
        <v>9.2165272380347074E-5</v>
      </c>
      <c r="I12" s="7">
        <f>$B12 * IFERROR(VLOOKUP("industry|SO2|Respiratory hospital admissions", US_national_yearly!$D:$AM, 17, FALSE) / VLOOKUP("industry|SO2|Respiratory hospital admissions", US_national_yearly!$D:$AM, 10, FALSE), 1)</f>
        <v>9.2723183720318675E-5</v>
      </c>
      <c r="J12" s="7">
        <f>$B12 * IFERROR(VLOOKUP("industry|SO2|Respiratory hospital admissions", US_national_yearly!$D:$AM, 18, FALSE) / VLOOKUP("industry|SO2|Respiratory hospital admissions", US_national_yearly!$D:$AM, 10, FALSE), 1)</f>
        <v>9.3281095060290264E-5</v>
      </c>
      <c r="K12" s="7">
        <f>$B12 * IFERROR(VLOOKUP("industry|SO2|Respiratory hospital admissions", US_national_yearly!$D:$AM, 19, FALSE) / VLOOKUP("industry|SO2|Respiratory hospital admissions", US_national_yearly!$D:$AM, 10, FALSE), 1)</f>
        <v>9.3839006400261838E-5</v>
      </c>
      <c r="L12" s="7">
        <f>$B12 * IFERROR(VLOOKUP("industry|SO2|Respiratory hospital admissions", US_national_yearly!$D:$AM, 20, FALSE) / VLOOKUP("industry|SO2|Respiratory hospital admissions", US_national_yearly!$D:$AM, 10, FALSE), 1)</f>
        <v>9.439691774023344E-5</v>
      </c>
      <c r="M12" s="7">
        <f>$B12 * IFERROR(VLOOKUP("industry|SO2|Respiratory hospital admissions", US_national_yearly!$D:$AM, 21, FALSE) / VLOOKUP("industry|SO2|Respiratory hospital admissions", US_national_yearly!$D:$AM, 10, FALSE), 1)</f>
        <v>9.4954829080205042E-5</v>
      </c>
      <c r="N12" s="7">
        <f>$B12 * IFERROR(VLOOKUP("industry|SO2|Respiratory hospital admissions", US_national_yearly!$D:$AM, 22, FALSE) / VLOOKUP("industry|SO2|Respiratory hospital admissions", US_national_yearly!$D:$AM, 10, FALSE), 1)</f>
        <v>9.5358541578483371E-5</v>
      </c>
      <c r="O12" s="7">
        <f>$B12 * IFERROR(VLOOKUP("industry|SO2|Respiratory hospital admissions", US_national_yearly!$D:$AM, 23, FALSE) / VLOOKUP("industry|SO2|Respiratory hospital admissions", US_national_yearly!$D:$AM, 10, FALSE), 1)</f>
        <v>9.5762254076761701E-5</v>
      </c>
      <c r="P12" s="7">
        <f>$B12 * IFERROR(VLOOKUP("industry|SO2|Respiratory hospital admissions", US_national_yearly!$D:$AM, 24, FALSE) / VLOOKUP("industry|SO2|Respiratory hospital admissions", US_national_yearly!$D:$AM, 10, FALSE), 1)</f>
        <v>9.6165966575040016E-5</v>
      </c>
      <c r="Q12" s="7">
        <f>$B12 * IFERROR(VLOOKUP("industry|SO2|Respiratory hospital admissions", US_national_yearly!$D:$AM, 25, FALSE) / VLOOKUP("industry|SO2|Respiratory hospital admissions", US_national_yearly!$D:$AM, 10, FALSE), 1)</f>
        <v>9.6569679073318346E-5</v>
      </c>
      <c r="R12" s="7">
        <f>$B12 * IFERROR(VLOOKUP("industry|SO2|Respiratory hospital admissions", US_national_yearly!$D:$AM, 26, FALSE) / VLOOKUP("industry|SO2|Respiratory hospital admissions", US_national_yearly!$D:$AM, 10, FALSE), 1)</f>
        <v>9.6973391571596662E-5</v>
      </c>
      <c r="S12" s="7">
        <f>$B12 * IFERROR(VLOOKUP("industry|SO2|Respiratory hospital admissions", US_national_yearly!$D:$AM, 27, FALSE) / VLOOKUP("industry|SO2|Respiratory hospital admissions", US_national_yearly!$D:$AM, 10, FALSE), 1)</f>
        <v>9.7357058590716924E-5</v>
      </c>
      <c r="T12" s="7">
        <f>$B12 * IFERROR(VLOOKUP("industry|SO2|Respiratory hospital admissions", US_national_yearly!$D:$AM, 28, FALSE) / VLOOKUP("industry|SO2|Respiratory hospital admissions", US_national_yearly!$D:$AM, 10, FALSE), 1)</f>
        <v>9.7740725609837185E-5</v>
      </c>
      <c r="U12" s="7">
        <f>$B12 * IFERROR(VLOOKUP("industry|SO2|Respiratory hospital admissions", US_national_yearly!$D:$AM, 29, FALSE) / VLOOKUP("industry|SO2|Respiratory hospital admissions", US_national_yearly!$D:$AM, 10, FALSE), 1)</f>
        <v>9.8124392628957434E-5</v>
      </c>
      <c r="V12" s="7">
        <f>$B12 * IFERROR(VLOOKUP("industry|SO2|Respiratory hospital admissions", US_national_yearly!$D:$AM, 30, FALSE) / VLOOKUP("industry|SO2|Respiratory hospital admissions", US_national_yearly!$D:$AM, 10, FALSE), 1)</f>
        <v>9.8508059648077709E-5</v>
      </c>
      <c r="W12" s="7">
        <f>$B12 * IFERROR(VLOOKUP("industry|SO2|Respiratory hospital admissions", US_national_yearly!$D:$AM, 31, FALSE) / VLOOKUP("industry|SO2|Respiratory hospital admissions", US_national_yearly!$D:$AM, 10, FALSE), 1)</f>
        <v>9.8891726667197957E-5</v>
      </c>
      <c r="X12" s="7">
        <f>$B12 * IFERROR(VLOOKUP("industry|SO2|Respiratory hospital admissions", US_national_yearly!$D:$AM, 32, FALSE) / VLOOKUP("industry|SO2|Respiratory hospital admissions", US_national_yearly!$D:$AM, 10, FALSE), 1)</f>
        <v>9.9256062631957292E-5</v>
      </c>
      <c r="Y12" s="7">
        <f>$B12 * IFERROR(VLOOKUP("industry|SO2|Respiratory hospital admissions", US_national_yearly!$D:$AM, 33, FALSE) / VLOOKUP("industry|SO2|Respiratory hospital admissions", US_national_yearly!$D:$AM, 10, FALSE), 1)</f>
        <v>9.9620398596716653E-5</v>
      </c>
      <c r="Z12" s="7">
        <f>$B12 * IFERROR(VLOOKUP("industry|SO2|Respiratory hospital admissions", US_national_yearly!$D:$AM, 34, FALSE) / VLOOKUP("industry|SO2|Respiratory hospital admissions", US_national_yearly!$D:$AM, 10, FALSE), 1)</f>
        <v>9.9984734561475987E-5</v>
      </c>
      <c r="AA12" s="7">
        <f>$B12 * IFERROR(VLOOKUP("industry|SO2|Respiratory hospital admissions", US_national_yearly!$D:$AM, 35, FALSE) / VLOOKUP("industry|SO2|Respiratory hospital admissions", US_national_yearly!$D:$AM, 10, FALSE), 1)</f>
        <v>1.0034907052623532E-4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1.0071340649099468E-4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4.2003763767761287E-4</v>
      </c>
      <c r="C13" s="7">
        <f>$B13 * IFERROR(VLOOKUP("industry|SO2|Non-fatal heart attacks", US_national_yearly!$D:$AM, 11, FALSE) / VLOOKUP("industry|SO2|Non-fatal heart attacks", US_national_yearly!$D:$AM, 10, FALSE), 1)</f>
        <v>4.323683676057607E-4</v>
      </c>
      <c r="D13" s="7">
        <f>$B13 * IFERROR(VLOOKUP("industry|SO2|Non-fatal heart attacks", US_national_yearly!$D:$AM, 12, FALSE) / VLOOKUP("industry|SO2|Non-fatal heart attacks", US_national_yearly!$D:$AM, 10, FALSE), 1)</f>
        <v>4.4469909753390853E-4</v>
      </c>
      <c r="E13" s="7">
        <f>$B13 * IFERROR(VLOOKUP("industry|SO2|Non-fatal heart attacks", US_national_yearly!$D:$AM, 13, FALSE) / VLOOKUP("industry|SO2|Non-fatal heart attacks", US_national_yearly!$D:$AM, 10, FALSE), 1)</f>
        <v>4.5702982746205625E-4</v>
      </c>
      <c r="F13" s="7">
        <f>$B13 * IFERROR(VLOOKUP("industry|SO2|Non-fatal heart attacks", US_national_yearly!$D:$AM, 14, FALSE) / VLOOKUP("industry|SO2|Non-fatal heart attacks", US_national_yearly!$D:$AM, 10, FALSE), 1)</f>
        <v>4.6936055739020413E-4</v>
      </c>
      <c r="G13" s="7">
        <f>$B13 * IFERROR(VLOOKUP("industry|SO2|Non-fatal heart attacks", US_national_yearly!$D:$AM, 15, FALSE) / VLOOKUP("industry|SO2|Non-fatal heart attacks", US_national_yearly!$D:$AM, 10, FALSE), 1)</f>
        <v>4.8099731213509516E-4</v>
      </c>
      <c r="H13" s="7">
        <f>$B13 * IFERROR(VLOOKUP("industry|SO2|Non-fatal heart attacks", US_national_yearly!$D:$AM, 16, FALSE) / VLOOKUP("industry|SO2|Non-fatal heart attacks", US_national_yearly!$D:$AM, 10, FALSE), 1)</f>
        <v>4.9263406687998629E-4</v>
      </c>
      <c r="I13" s="7">
        <f>$B13 * IFERROR(VLOOKUP("industry|SO2|Non-fatal heart attacks", US_national_yearly!$D:$AM, 17, FALSE) / VLOOKUP("industry|SO2|Non-fatal heart attacks", US_national_yearly!$D:$AM, 10, FALSE), 1)</f>
        <v>5.0201530545734222E-4</v>
      </c>
      <c r="J13" s="7">
        <f>$B13 * IFERROR(VLOOKUP("industry|SO2|Non-fatal heart attacks", US_national_yearly!$D:$AM, 18, FALSE) / VLOOKUP("industry|SO2|Non-fatal heart attacks", US_national_yearly!$D:$AM, 10, FALSE), 1)</f>
        <v>5.1139654403469827E-4</v>
      </c>
      <c r="K13" s="7">
        <f>$B13 * IFERROR(VLOOKUP("industry|SO2|Non-fatal heart attacks", US_national_yearly!$D:$AM, 19, FALSE) / VLOOKUP("industry|SO2|Non-fatal heart attacks", US_national_yearly!$D:$AM, 10, FALSE), 1)</f>
        <v>5.2077778261205431E-4</v>
      </c>
      <c r="L13" s="7">
        <f>$B13 * IFERROR(VLOOKUP("industry|SO2|Non-fatal heart attacks", US_national_yearly!$D:$AM, 20, FALSE) / VLOOKUP("industry|SO2|Non-fatal heart attacks", US_national_yearly!$D:$AM, 10, FALSE), 1)</f>
        <v>5.3015902118941035E-4</v>
      </c>
      <c r="M13" s="7">
        <f>$B13 * IFERROR(VLOOKUP("industry|SO2|Non-fatal heart attacks", US_national_yearly!$D:$AM, 21, FALSE) / VLOOKUP("industry|SO2|Non-fatal heart attacks", US_national_yearly!$D:$AM, 10, FALSE), 1)</f>
        <v>5.3954025976676639E-4</v>
      </c>
      <c r="N13" s="7">
        <f>$B13 * IFERROR(VLOOKUP("industry|SO2|Non-fatal heart attacks", US_national_yearly!$D:$AM, 22, FALSE) / VLOOKUP("industry|SO2|Non-fatal heart attacks", US_national_yearly!$D:$AM, 10, FALSE), 1)</f>
        <v>5.4563481214072829E-4</v>
      </c>
      <c r="O13" s="7">
        <f>$B13 * IFERROR(VLOOKUP("industry|SO2|Non-fatal heart attacks", US_national_yearly!$D:$AM, 23, FALSE) / VLOOKUP("industry|SO2|Non-fatal heart attacks", US_national_yearly!$D:$AM, 10, FALSE), 1)</f>
        <v>5.5172936451469029E-4</v>
      </c>
      <c r="P13" s="7">
        <f>$B13 * IFERROR(VLOOKUP("industry|SO2|Non-fatal heart attacks", US_national_yearly!$D:$AM, 24, FALSE) / VLOOKUP("industry|SO2|Non-fatal heart attacks", US_national_yearly!$D:$AM, 10, FALSE), 1)</f>
        <v>5.5782391688865218E-4</v>
      </c>
      <c r="Q13" s="7">
        <f>$B13 * IFERROR(VLOOKUP("industry|SO2|Non-fatal heart attacks", US_national_yearly!$D:$AM, 25, FALSE) / VLOOKUP("industry|SO2|Non-fatal heart attacks", US_national_yearly!$D:$AM, 10, FALSE), 1)</f>
        <v>5.6391846926261407E-4</v>
      </c>
      <c r="R13" s="7">
        <f>$B13 * IFERROR(VLOOKUP("industry|SO2|Non-fatal heart attacks", US_national_yearly!$D:$AM, 26, FALSE) / VLOOKUP("industry|SO2|Non-fatal heart attacks", US_national_yearly!$D:$AM, 10, FALSE), 1)</f>
        <v>5.7001302163657607E-4</v>
      </c>
      <c r="S13" s="7">
        <f>$B13 * IFERROR(VLOOKUP("industry|SO2|Non-fatal heart attacks", US_national_yearly!$D:$AM, 27, FALSE) / VLOOKUP("industry|SO2|Non-fatal heart attacks", US_national_yearly!$D:$AM, 10, FALSE), 1)</f>
        <v>5.7321397015138603E-4</v>
      </c>
      <c r="T13" s="7">
        <f>$B13 * IFERROR(VLOOKUP("industry|SO2|Non-fatal heart attacks", US_national_yearly!$D:$AM, 28, FALSE) / VLOOKUP("industry|SO2|Non-fatal heart attacks", US_national_yearly!$D:$AM, 10, FALSE), 1)</f>
        <v>5.7641491866619599E-4</v>
      </c>
      <c r="U13" s="7">
        <f>$B13 * IFERROR(VLOOKUP("industry|SO2|Non-fatal heart attacks", US_national_yearly!$D:$AM, 29, FALSE) / VLOOKUP("industry|SO2|Non-fatal heart attacks", US_national_yearly!$D:$AM, 10, FALSE), 1)</f>
        <v>5.7961586718100594E-4</v>
      </c>
      <c r="V13" s="7">
        <f>$B13 * IFERROR(VLOOKUP("industry|SO2|Non-fatal heart attacks", US_national_yearly!$D:$AM, 30, FALSE) / VLOOKUP("industry|SO2|Non-fatal heart attacks", US_national_yearly!$D:$AM, 10, FALSE), 1)</f>
        <v>5.828168156958159E-4</v>
      </c>
      <c r="W13" s="7">
        <f>$B13 * IFERROR(VLOOKUP("industry|SO2|Non-fatal heart attacks", US_national_yearly!$D:$AM, 31, FALSE) / VLOOKUP("industry|SO2|Non-fatal heart attacks", US_national_yearly!$D:$AM, 10, FALSE), 1)</f>
        <v>5.8601776421062586E-4</v>
      </c>
      <c r="X13" s="7">
        <f>$B13 * IFERROR(VLOOKUP("industry|SO2|Non-fatal heart attacks", US_national_yearly!$D:$AM, 32, FALSE) / VLOOKUP("industry|SO2|Non-fatal heart attacks", US_national_yearly!$D:$AM, 10, FALSE), 1)</f>
        <v>5.8844879223753891E-4</v>
      </c>
      <c r="Y13" s="7">
        <f>$B13 * IFERROR(VLOOKUP("industry|SO2|Non-fatal heart attacks", US_national_yearly!$D:$AM, 33, FALSE) / VLOOKUP("industry|SO2|Non-fatal heart attacks", US_national_yearly!$D:$AM, 10, FALSE), 1)</f>
        <v>5.9087982026445206E-4</v>
      </c>
      <c r="Z13" s="7">
        <f>$B13 * IFERROR(VLOOKUP("industry|SO2|Non-fatal heart attacks", US_national_yearly!$D:$AM, 34, FALSE) / VLOOKUP("industry|SO2|Non-fatal heart attacks", US_national_yearly!$D:$AM, 10, FALSE), 1)</f>
        <v>5.933108482913651E-4</v>
      </c>
      <c r="AA13" s="7">
        <f>$B13 * IFERROR(VLOOKUP("industry|SO2|Non-fatal heart attacks", US_national_yearly!$D:$AM, 35, FALSE) / VLOOKUP("industry|SO2|Non-fatal heart attacks", US_national_yearly!$D:$AM, 10, FALSE), 1)</f>
        <v>5.9574187631827825E-4</v>
      </c>
      <c r="AB13" s="7">
        <f>$B13 * IFERROR(VLOOKUP("industry|SO2|Non-fatal heart attacks", US_national_yearly!$D:$AM, 36, FALSE) / VLOOKUP("industry|SO2|Non-fatal heart attacks", US_national_yearly!$D:$AM, 10, FALSE), 1)</f>
        <v>5.9817290434519129E-4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0.39622258612634798</v>
      </c>
      <c r="C14" s="7">
        <f>$B14 * IFERROR(VLOOKUP("industry|SO2|Minor restricted activity days", US_national_yearly!$D:$AM, 11, FALSE) / VLOOKUP("industry|SO2|Minor restricted activity days", US_national_yearly!$D:$AM, 10, FALSE), 1)</f>
        <v>0.39721369296297243</v>
      </c>
      <c r="D14" s="7">
        <f>$B14 * IFERROR(VLOOKUP("industry|SO2|Minor restricted activity days", US_national_yearly!$D:$AM, 12, FALSE) / VLOOKUP("industry|SO2|Minor restricted activity days", US_national_yearly!$D:$AM, 10, FALSE), 1)</f>
        <v>0.39820479979959683</v>
      </c>
      <c r="E14" s="7">
        <f>$B14 * IFERROR(VLOOKUP("industry|SO2|Minor restricted activity days", US_national_yearly!$D:$AM, 13, FALSE) / VLOOKUP("industry|SO2|Minor restricted activity days", US_national_yearly!$D:$AM, 10, FALSE), 1)</f>
        <v>0.39919590663622134</v>
      </c>
      <c r="F14" s="7">
        <f>$B14 * IFERROR(VLOOKUP("industry|SO2|Minor restricted activity days", US_national_yearly!$D:$AM, 14, FALSE) / VLOOKUP("industry|SO2|Minor restricted activity days", US_national_yearly!$D:$AM, 10, FALSE), 1)</f>
        <v>0.4001870134728458</v>
      </c>
      <c r="G14" s="7">
        <f>$B14 * IFERROR(VLOOKUP("industry|SO2|Minor restricted activity days", US_national_yearly!$D:$AM, 15, FALSE) / VLOOKUP("industry|SO2|Minor restricted activity days", US_national_yearly!$D:$AM, 10, FALSE), 1)</f>
        <v>0.40164502606940161</v>
      </c>
      <c r="H14" s="7">
        <f>$B14 * IFERROR(VLOOKUP("industry|SO2|Minor restricted activity days", US_national_yearly!$D:$AM, 16, FALSE) / VLOOKUP("industry|SO2|Minor restricted activity days", US_national_yearly!$D:$AM, 10, FALSE), 1)</f>
        <v>0.40310303866595731</v>
      </c>
      <c r="I14" s="7">
        <f>$B14 * IFERROR(VLOOKUP("industry|SO2|Minor restricted activity days", US_national_yearly!$D:$AM, 17, FALSE) / VLOOKUP("industry|SO2|Minor restricted activity days", US_national_yearly!$D:$AM, 10, FALSE), 1)</f>
        <v>0.40558939115864379</v>
      </c>
      <c r="J14" s="7">
        <f>$B14 * IFERROR(VLOOKUP("industry|SO2|Minor restricted activity days", US_national_yearly!$D:$AM, 18, FALSE) / VLOOKUP("industry|SO2|Minor restricted activity days", US_national_yearly!$D:$AM, 10, FALSE), 1)</f>
        <v>0.4080757436513302</v>
      </c>
      <c r="K14" s="7">
        <f>$B14 * IFERROR(VLOOKUP("industry|SO2|Minor restricted activity days", US_national_yearly!$D:$AM, 19, FALSE) / VLOOKUP("industry|SO2|Minor restricted activity days", US_national_yearly!$D:$AM, 10, FALSE), 1)</f>
        <v>0.41056209614401667</v>
      </c>
      <c r="L14" s="7">
        <f>$B14 * IFERROR(VLOOKUP("industry|SO2|Minor restricted activity days", US_national_yearly!$D:$AM, 20, FALSE) / VLOOKUP("industry|SO2|Minor restricted activity days", US_national_yearly!$D:$AM, 10, FALSE), 1)</f>
        <v>0.41304844863670315</v>
      </c>
      <c r="M14" s="7">
        <f>$B14 * IFERROR(VLOOKUP("industry|SO2|Minor restricted activity days", US_national_yearly!$D:$AM, 21, FALSE) / VLOOKUP("industry|SO2|Minor restricted activity days", US_national_yearly!$D:$AM, 10, FALSE), 1)</f>
        <v>0.41553480112938962</v>
      </c>
      <c r="N14" s="7">
        <f>$B14 * IFERROR(VLOOKUP("industry|SO2|Minor restricted activity days", US_national_yearly!$D:$AM, 22, FALSE) / VLOOKUP("industry|SO2|Minor restricted activity days", US_national_yearly!$D:$AM, 10, FALSE), 1)</f>
        <v>0.41894388942356087</v>
      </c>
      <c r="O14" s="7">
        <f>$B14 * IFERROR(VLOOKUP("industry|SO2|Minor restricted activity days", US_national_yearly!$D:$AM, 23, FALSE) / VLOOKUP("industry|SO2|Minor restricted activity days", US_national_yearly!$D:$AM, 10, FALSE), 1)</f>
        <v>0.42235297771773206</v>
      </c>
      <c r="P14" s="7">
        <f>$B14 * IFERROR(VLOOKUP("industry|SO2|Minor restricted activity days", US_national_yearly!$D:$AM, 24, FALSE) / VLOOKUP("industry|SO2|Minor restricted activity days", US_national_yearly!$D:$AM, 10, FALSE), 1)</f>
        <v>0.42576206601190325</v>
      </c>
      <c r="Q14" s="7">
        <f>$B14 * IFERROR(VLOOKUP("industry|SO2|Minor restricted activity days", US_national_yearly!$D:$AM, 25, FALSE) / VLOOKUP("industry|SO2|Minor restricted activity days", US_national_yearly!$D:$AM, 10, FALSE), 1)</f>
        <v>0.4291711543060745</v>
      </c>
      <c r="R14" s="7">
        <f>$B14 * IFERROR(VLOOKUP("industry|SO2|Minor restricted activity days", US_national_yearly!$D:$AM, 26, FALSE) / VLOOKUP("industry|SO2|Minor restricted activity days", US_national_yearly!$D:$AM, 10, FALSE), 1)</f>
        <v>0.43258024260024575</v>
      </c>
      <c r="S14" s="7">
        <f>$B14 * IFERROR(VLOOKUP("industry|SO2|Minor restricted activity days", US_national_yearly!$D:$AM, 27, FALSE) / VLOOKUP("industry|SO2|Minor restricted activity days", US_national_yearly!$D:$AM, 10, FALSE), 1)</f>
        <v>0.43605949252918191</v>
      </c>
      <c r="T14" s="7">
        <f>$B14 * IFERROR(VLOOKUP("industry|SO2|Minor restricted activity days", US_national_yearly!$D:$AM, 28, FALSE) / VLOOKUP("industry|SO2|Minor restricted activity days", US_national_yearly!$D:$AM, 10, FALSE), 1)</f>
        <v>0.43953874245811814</v>
      </c>
      <c r="U14" s="7">
        <f>$B14 * IFERROR(VLOOKUP("industry|SO2|Minor restricted activity days", US_national_yearly!$D:$AM, 29, FALSE) / VLOOKUP("industry|SO2|Minor restricted activity days", US_national_yearly!$D:$AM, 10, FALSE), 1)</f>
        <v>0.44301799238705436</v>
      </c>
      <c r="V14" s="7">
        <f>$B14 * IFERROR(VLOOKUP("industry|SO2|Minor restricted activity days", US_national_yearly!$D:$AM, 30, FALSE) / VLOOKUP("industry|SO2|Minor restricted activity days", US_national_yearly!$D:$AM, 10, FALSE), 1)</f>
        <v>0.44649724231599058</v>
      </c>
      <c r="W14" s="7">
        <f>$B14 * IFERROR(VLOOKUP("industry|SO2|Minor restricted activity days", US_national_yearly!$D:$AM, 31, FALSE) / VLOOKUP("industry|SO2|Minor restricted activity days", US_national_yearly!$D:$AM, 10, FALSE), 1)</f>
        <v>0.44997649224492675</v>
      </c>
      <c r="X14" s="7">
        <f>$B14 * IFERROR(VLOOKUP("industry|SO2|Minor restricted activity days", US_national_yearly!$D:$AM, 32, FALSE) / VLOOKUP("industry|SO2|Minor restricted activity days", US_national_yearly!$D:$AM, 10, FALSE), 1)</f>
        <v>0.45303576924720657</v>
      </c>
      <c r="Y14" s="7">
        <f>$B14 * IFERROR(VLOOKUP("industry|SO2|Minor restricted activity days", US_national_yearly!$D:$AM, 33, FALSE) / VLOOKUP("industry|SO2|Minor restricted activity days", US_national_yearly!$D:$AM, 10, FALSE), 1)</f>
        <v>0.45609504624948621</v>
      </c>
      <c r="Z14" s="7">
        <f>$B14 * IFERROR(VLOOKUP("industry|SO2|Minor restricted activity days", US_national_yearly!$D:$AM, 34, FALSE) / VLOOKUP("industry|SO2|Minor restricted activity days", US_national_yearly!$D:$AM, 10, FALSE), 1)</f>
        <v>0.45915432325176586</v>
      </c>
      <c r="AA14" s="7">
        <f>$B14 * IFERROR(VLOOKUP("industry|SO2|Minor restricted activity days", US_national_yearly!$D:$AM, 35, FALSE) / VLOOKUP("industry|SO2|Minor restricted activity days", US_national_yearly!$D:$AM, 10, FALSE), 1)</f>
        <v>0.46221360025404556</v>
      </c>
      <c r="AB14" s="7">
        <f>$B14 * IFERROR(VLOOKUP("industry|SO2|Minor restricted activity days", US_national_yearly!$D:$AM, 36, FALSE) / VLOOKUP("industry|SO2|Minor restricted activity days", US_national_yearly!$D:$AM, 10, FALSE), 1)</f>
        <v>0.46527287725632532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6.7448408210736693E-2</v>
      </c>
      <c r="C15" s="7">
        <f>$B15 * IFERROR(VLOOKUP("industry|SO2|Work loss days", US_national_yearly!$D:$AM, 11, FALSE) / VLOOKUP("industry|SO2|Work loss days", US_national_yearly!$D:$AM, 10, FALSE), 1)</f>
        <v>6.7665314671432331E-2</v>
      </c>
      <c r="D15" s="7">
        <f>$B15 * IFERROR(VLOOKUP("industry|SO2|Work loss days", US_national_yearly!$D:$AM, 12, FALSE) / VLOOKUP("industry|SO2|Work loss days", US_national_yearly!$D:$AM, 10, FALSE), 1)</f>
        <v>6.7882221132128009E-2</v>
      </c>
      <c r="E15" s="7">
        <f>$B15 * IFERROR(VLOOKUP("industry|SO2|Work loss days", US_national_yearly!$D:$AM, 13, FALSE) / VLOOKUP("industry|SO2|Work loss days", US_national_yearly!$D:$AM, 10, FALSE), 1)</f>
        <v>6.8099127592823647E-2</v>
      </c>
      <c r="F15" s="7">
        <f>$B15 * IFERROR(VLOOKUP("industry|SO2|Work loss days", US_national_yearly!$D:$AM, 14, FALSE) / VLOOKUP("industry|SO2|Work loss days", US_national_yearly!$D:$AM, 10, FALSE), 1)</f>
        <v>6.8316034053519312E-2</v>
      </c>
      <c r="G15" s="7">
        <f>$B15 * IFERROR(VLOOKUP("industry|SO2|Work loss days", US_national_yearly!$D:$AM, 15, FALSE) / VLOOKUP("industry|SO2|Work loss days", US_national_yearly!$D:$AM, 10, FALSE), 1)</f>
        <v>6.8599155601140563E-2</v>
      </c>
      <c r="H15" s="7">
        <f>$B15 * IFERROR(VLOOKUP("industry|SO2|Work loss days", US_national_yearly!$D:$AM, 16, FALSE) / VLOOKUP("industry|SO2|Work loss days", US_national_yearly!$D:$AM, 10, FALSE), 1)</f>
        <v>6.8882277148761828E-2</v>
      </c>
      <c r="I15" s="7">
        <f>$B15 * IFERROR(VLOOKUP("industry|SO2|Work loss days", US_national_yearly!$D:$AM, 17, FALSE) / VLOOKUP("industry|SO2|Work loss days", US_national_yearly!$D:$AM, 10, FALSE), 1)</f>
        <v>6.9296121071732747E-2</v>
      </c>
      <c r="J15" s="7">
        <f>$B15 * IFERROR(VLOOKUP("industry|SO2|Work loss days", US_national_yearly!$D:$AM, 18, FALSE) / VLOOKUP("industry|SO2|Work loss days", US_national_yearly!$D:$AM, 10, FALSE), 1)</f>
        <v>6.9709964994703638E-2</v>
      </c>
      <c r="K15" s="7">
        <f>$B15 * IFERROR(VLOOKUP("industry|SO2|Work loss days", US_national_yearly!$D:$AM, 19, FALSE) / VLOOKUP("industry|SO2|Work loss days", US_national_yearly!$D:$AM, 10, FALSE), 1)</f>
        <v>7.0123808917674543E-2</v>
      </c>
      <c r="L15" s="7">
        <f>$B15 * IFERROR(VLOOKUP("industry|SO2|Work loss days", US_national_yearly!$D:$AM, 20, FALSE) / VLOOKUP("industry|SO2|Work loss days", US_national_yearly!$D:$AM, 10, FALSE), 1)</f>
        <v>7.0537652840645448E-2</v>
      </c>
      <c r="M15" s="7">
        <f>$B15 * IFERROR(VLOOKUP("industry|SO2|Work loss days", US_national_yearly!$D:$AM, 21, FALSE) / VLOOKUP("industry|SO2|Work loss days", US_national_yearly!$D:$AM, 10, FALSE), 1)</f>
        <v>7.0951496763616353E-2</v>
      </c>
      <c r="N15" s="7">
        <f>$B15 * IFERROR(VLOOKUP("industry|SO2|Work loss days", US_national_yearly!$D:$AM, 22, FALSE) / VLOOKUP("industry|SO2|Work loss days", US_national_yearly!$D:$AM, 10, FALSE), 1)</f>
        <v>7.1471637648964623E-2</v>
      </c>
      <c r="O15" s="7">
        <f>$B15 * IFERROR(VLOOKUP("industry|SO2|Work loss days", US_national_yearly!$D:$AM, 23, FALSE) / VLOOKUP("industry|SO2|Work loss days", US_national_yearly!$D:$AM, 10, FALSE), 1)</f>
        <v>7.1991778534312892E-2</v>
      </c>
      <c r="P15" s="7">
        <f>$B15 * IFERROR(VLOOKUP("industry|SO2|Work loss days", US_national_yearly!$D:$AM, 24, FALSE) / VLOOKUP("industry|SO2|Work loss days", US_national_yearly!$D:$AM, 10, FALSE), 1)</f>
        <v>7.2511919419661175E-2</v>
      </c>
      <c r="Q15" s="7">
        <f>$B15 * IFERROR(VLOOKUP("industry|SO2|Work loss days", US_national_yearly!$D:$AM, 25, FALSE) / VLOOKUP("industry|SO2|Work loss days", US_national_yearly!$D:$AM, 10, FALSE), 1)</f>
        <v>7.3032060305009444E-2</v>
      </c>
      <c r="R15" s="7">
        <f>$B15 * IFERROR(VLOOKUP("industry|SO2|Work loss days", US_national_yearly!$D:$AM, 26, FALSE) / VLOOKUP("industry|SO2|Work loss days", US_national_yearly!$D:$AM, 10, FALSE), 1)</f>
        <v>7.3552201190357713E-2</v>
      </c>
      <c r="S15" s="7">
        <f>$B15 * IFERROR(VLOOKUP("industry|SO2|Work loss days", US_national_yearly!$D:$AM, 27, FALSE) / VLOOKUP("industry|SO2|Work loss days", US_national_yearly!$D:$AM, 10, FALSE), 1)</f>
        <v>7.4134217404694017E-2</v>
      </c>
      <c r="T15" s="7">
        <f>$B15 * IFERROR(VLOOKUP("industry|SO2|Work loss days", US_national_yearly!$D:$AM, 28, FALSE) / VLOOKUP("industry|SO2|Work loss days", US_national_yearly!$D:$AM, 10, FALSE), 1)</f>
        <v>7.4716233619030334E-2</v>
      </c>
      <c r="U15" s="7">
        <f>$B15 * IFERROR(VLOOKUP("industry|SO2|Work loss days", US_national_yearly!$D:$AM, 29, FALSE) / VLOOKUP("industry|SO2|Work loss days", US_national_yearly!$D:$AM, 10, FALSE), 1)</f>
        <v>7.5298249833366665E-2</v>
      </c>
      <c r="V15" s="7">
        <f>$B15 * IFERROR(VLOOKUP("industry|SO2|Work loss days", US_national_yearly!$D:$AM, 30, FALSE) / VLOOKUP("industry|SO2|Work loss days", US_national_yearly!$D:$AM, 10, FALSE), 1)</f>
        <v>7.5880266047702968E-2</v>
      </c>
      <c r="W15" s="7">
        <f>$B15 * IFERROR(VLOOKUP("industry|SO2|Work loss days", US_national_yearly!$D:$AM, 31, FALSE) / VLOOKUP("industry|SO2|Work loss days", US_national_yearly!$D:$AM, 10, FALSE), 1)</f>
        <v>7.6462282262039286E-2</v>
      </c>
      <c r="X15" s="7">
        <f>$B15 * IFERROR(VLOOKUP("industry|SO2|Work loss days", US_national_yearly!$D:$AM, 32, FALSE) / VLOOKUP("industry|SO2|Work loss days", US_national_yearly!$D:$AM, 10, FALSE), 1)</f>
        <v>7.6985033449423826E-2</v>
      </c>
      <c r="Y15" s="7">
        <f>$B15 * IFERROR(VLOOKUP("industry|SO2|Work loss days", US_national_yearly!$D:$AM, 33, FALSE) / VLOOKUP("industry|SO2|Work loss days", US_national_yearly!$D:$AM, 10, FALSE), 1)</f>
        <v>7.7507784636808366E-2</v>
      </c>
      <c r="Z15" s="7">
        <f>$B15 * IFERROR(VLOOKUP("industry|SO2|Work loss days", US_national_yearly!$D:$AM, 34, FALSE) / VLOOKUP("industry|SO2|Work loss days", US_national_yearly!$D:$AM, 10, FALSE), 1)</f>
        <v>7.8030535824192879E-2</v>
      </c>
      <c r="AA15" s="7">
        <f>$B15 * IFERROR(VLOOKUP("industry|SO2|Work loss days", US_national_yearly!$D:$AM, 35, FALSE) / VLOOKUP("industry|SO2|Work loss days", US_national_yearly!$D:$AM, 10, FALSE), 1)</f>
        <v>7.8553287011577419E-2</v>
      </c>
      <c r="AB15" s="7">
        <f>$B15 * IFERROR(VLOOKUP("industry|SO2|Work loss days", US_national_yearly!$D:$AM, 36, FALSE) / VLOOKUP("industry|SO2|Work loss days", US_national_yearly!$D:$AM, 10, FALSE), 1)</f>
        <v>7.9076038198961945E-2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1.0014187369917086E-4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1.0316988321364736E-4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1.0619789272812387E-4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1.092259022426004E-4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1.1225391175707691E-4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1.1515583704740985E-4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1.1805776233774279E-4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1.205477158521988E-4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1.2303766936665484E-4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1.2552762288111087E-4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1.280175763955669E-4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1.305075299100229E-4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1.321804156534191E-4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1.338533013968153E-4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1.3552618714021147E-4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1.3719907288360766E-4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1.3887195862700383E-4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1.3975651575299331E-4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1.4064107287898285E-4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1.4152563000497233E-4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1.4241018713096184E-4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1.4329474425695132E-4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1.4389293940322281E-4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1.4449113454949425E-4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1.4508932969576577E-4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1.4568752484203724E-4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1.462857199883087E-4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1.4629848238185774E-3</v>
      </c>
      <c r="C2" s="7">
        <f>$B2 * IFERROR(VLOOKUP("LULUCF|PM25|Premature mortality", US_national_yearly!$D:$AM, 11, FALSE) / VLOOKUP("LULUCF|PM25|Premature mortality", US_national_yearly!$D:$AM, 10, FALSE), 1)</f>
        <v>1.4811226295229722E-3</v>
      </c>
      <c r="D2" s="7">
        <f>$B2 * IFERROR(VLOOKUP("LULUCF|PM25|Premature mortality", US_national_yearly!$D:$AM, 12, FALSE) / VLOOKUP("LULUCF|PM25|Premature mortality", US_national_yearly!$D:$AM, 10, FALSE), 1)</f>
        <v>1.4992604352273668E-3</v>
      </c>
      <c r="E2" s="7">
        <f>$B2 * IFERROR(VLOOKUP("LULUCF|PM25|Premature mortality", US_national_yearly!$D:$AM, 13, FALSE) / VLOOKUP("LULUCF|PM25|Premature mortality", US_national_yearly!$D:$AM, 10, FALSE), 1)</f>
        <v>1.5173982409317612E-3</v>
      </c>
      <c r="F2" s="7">
        <f>$B2 * IFERROR(VLOOKUP("LULUCF|PM25|Premature mortality", US_national_yearly!$D:$AM, 14, FALSE) / VLOOKUP("LULUCF|PM25|Premature mortality", US_national_yearly!$D:$AM, 10, FALSE), 1)</f>
        <v>1.5355360466361558E-3</v>
      </c>
      <c r="G2" s="7">
        <f>$B2 * IFERROR(VLOOKUP("LULUCF|PM25|Premature mortality", US_national_yearly!$D:$AM, 15, FALSE) / VLOOKUP("LULUCF|PM25|Premature mortality", US_national_yearly!$D:$AM, 10, FALSE), 1)</f>
        <v>1.5708592864533716E-3</v>
      </c>
      <c r="H2" s="7">
        <f>$B2 * IFERROR(VLOOKUP("LULUCF|PM25|Premature mortality", US_national_yearly!$D:$AM, 16, FALSE) / VLOOKUP("LULUCF|PM25|Premature mortality", US_national_yearly!$D:$AM, 10, FALSE), 1)</f>
        <v>1.6061825262705877E-3</v>
      </c>
      <c r="I2" s="7">
        <f>$B2 * IFERROR(VLOOKUP("LULUCF|PM25|Premature mortality", US_national_yearly!$D:$AM, 17, FALSE) / VLOOKUP("LULUCF|PM25|Premature mortality", US_national_yearly!$D:$AM, 10, FALSE), 1)</f>
        <v>1.629384317119099E-3</v>
      </c>
      <c r="J2" s="7">
        <f>$B2 * IFERROR(VLOOKUP("LULUCF|PM25|Premature mortality", US_national_yearly!$D:$AM, 18, FALSE) / VLOOKUP("LULUCF|PM25|Premature mortality", US_national_yearly!$D:$AM, 10, FALSE), 1)</f>
        <v>1.6525861079676111E-3</v>
      </c>
      <c r="K2" s="7">
        <f>$B2 * IFERROR(VLOOKUP("LULUCF|PM25|Premature mortality", US_national_yearly!$D:$AM, 19, FALSE) / VLOOKUP("LULUCF|PM25|Premature mortality", US_national_yearly!$D:$AM, 10, FALSE), 1)</f>
        <v>1.6757878988161229E-3</v>
      </c>
      <c r="L2" s="7">
        <f>$B2 * IFERROR(VLOOKUP("LULUCF|PM25|Premature mortality", US_national_yearly!$D:$AM, 20, FALSE) / VLOOKUP("LULUCF|PM25|Premature mortality", US_national_yearly!$D:$AM, 10, FALSE), 1)</f>
        <v>1.6989896896646348E-3</v>
      </c>
      <c r="M2" s="7">
        <f>$B2 * IFERROR(VLOOKUP("LULUCF|PM25|Premature mortality", US_national_yearly!$D:$AM, 21, FALSE) / VLOOKUP("LULUCF|PM25|Premature mortality", US_national_yearly!$D:$AM, 10, FALSE), 1)</f>
        <v>1.7221914805131467E-3</v>
      </c>
      <c r="N2" s="7">
        <f>$B2 * IFERROR(VLOOKUP("LULUCF|PM25|Premature mortality", US_national_yearly!$D:$AM, 22, FALSE) / VLOOKUP("LULUCF|PM25|Premature mortality", US_national_yearly!$D:$AM, 10, FALSE), 1)</f>
        <v>1.7402061944513248E-3</v>
      </c>
      <c r="O2" s="7">
        <f>$B2 * IFERROR(VLOOKUP("LULUCF|PM25|Premature mortality", US_national_yearly!$D:$AM, 23, FALSE) / VLOOKUP("LULUCF|PM25|Premature mortality", US_national_yearly!$D:$AM, 10, FALSE), 1)</f>
        <v>1.7582209083895032E-3</v>
      </c>
      <c r="P2" s="7">
        <f>$B2 * IFERROR(VLOOKUP("LULUCF|PM25|Premature mortality", US_national_yearly!$D:$AM, 24, FALSE) / VLOOKUP("LULUCF|PM25|Premature mortality", US_national_yearly!$D:$AM, 10, FALSE), 1)</f>
        <v>1.7762356223276815E-3</v>
      </c>
      <c r="Q2" s="7">
        <f>$B2 * IFERROR(VLOOKUP("LULUCF|PM25|Premature mortality", US_national_yearly!$D:$AM, 25, FALSE) / VLOOKUP("LULUCF|PM25|Premature mortality", US_national_yearly!$D:$AM, 10, FALSE), 1)</f>
        <v>1.7942503362658596E-3</v>
      </c>
      <c r="R2" s="7">
        <f>$B2 * IFERROR(VLOOKUP("LULUCF|PM25|Premature mortality", US_national_yearly!$D:$AM, 26, FALSE) / VLOOKUP("LULUCF|PM25|Premature mortality", US_national_yearly!$D:$AM, 10, FALSE), 1)</f>
        <v>1.8122650502040382E-3</v>
      </c>
      <c r="S2" s="7">
        <f>$B2 * IFERROR(VLOOKUP("LULUCF|PM25|Premature mortality", US_national_yearly!$D:$AM, 27, FALSE) / VLOOKUP("LULUCF|PM25|Premature mortality", US_national_yearly!$D:$AM, 10, FALSE), 1)</f>
        <v>1.8218087104134944E-3</v>
      </c>
      <c r="T2" s="7">
        <f>$B2 * IFERROR(VLOOKUP("LULUCF|PM25|Premature mortality", US_national_yearly!$D:$AM, 28, FALSE) / VLOOKUP("LULUCF|PM25|Premature mortality", US_national_yearly!$D:$AM, 10, FALSE), 1)</f>
        <v>1.8313523706229499E-3</v>
      </c>
      <c r="U2" s="7">
        <f>$B2 * IFERROR(VLOOKUP("LULUCF|PM25|Premature mortality", US_national_yearly!$D:$AM, 29, FALSE) / VLOOKUP("LULUCF|PM25|Premature mortality", US_national_yearly!$D:$AM, 10, FALSE), 1)</f>
        <v>1.8408960308324057E-3</v>
      </c>
      <c r="V2" s="7">
        <f>$B2 * IFERROR(VLOOKUP("LULUCF|PM25|Premature mortality", US_national_yearly!$D:$AM, 30, FALSE) / VLOOKUP("LULUCF|PM25|Premature mortality", US_national_yearly!$D:$AM, 10, FALSE), 1)</f>
        <v>1.8504396910418615E-3</v>
      </c>
      <c r="W2" s="7">
        <f>$B2 * IFERROR(VLOOKUP("LULUCF|PM25|Premature mortality", US_national_yearly!$D:$AM, 31, FALSE) / VLOOKUP("LULUCF|PM25|Premature mortality", US_national_yearly!$D:$AM, 10, FALSE), 1)</f>
        <v>1.8599833512513173E-3</v>
      </c>
      <c r="X2" s="7">
        <f>$B2 * IFERROR(VLOOKUP("LULUCF|PM25|Premature mortality", US_national_yearly!$D:$AM, 32, FALSE) / VLOOKUP("LULUCF|PM25|Premature mortality", US_national_yearly!$D:$AM, 10, FALSE), 1)</f>
        <v>1.8616521340642665E-3</v>
      </c>
      <c r="Y2" s="7">
        <f>$B2 * IFERROR(VLOOKUP("LULUCF|PM25|Premature mortality", US_national_yearly!$D:$AM, 33, FALSE) / VLOOKUP("LULUCF|PM25|Premature mortality", US_national_yearly!$D:$AM, 10, FALSE), 1)</f>
        <v>1.863320916877216E-3</v>
      </c>
      <c r="Z2" s="7">
        <f>$B2 * IFERROR(VLOOKUP("LULUCF|PM25|Premature mortality", US_national_yearly!$D:$AM, 34, FALSE) / VLOOKUP("LULUCF|PM25|Premature mortality", US_national_yearly!$D:$AM, 10, FALSE), 1)</f>
        <v>1.8649896996901652E-3</v>
      </c>
      <c r="AA2" s="7">
        <f>$B2 * IFERROR(VLOOKUP("LULUCF|PM25|Premature mortality", US_national_yearly!$D:$AM, 35, FALSE) / VLOOKUP("LULUCF|PM25|Premature mortality", US_national_yearly!$D:$AM, 10, FALSE), 1)</f>
        <v>1.8666584825031149E-3</v>
      </c>
      <c r="AB2" s="7">
        <f>$B2 * IFERROR(VLOOKUP("LULUCF|PM25|Premature mortality", US_national_yearly!$D:$AM, 36, FALSE) / VLOOKUP("LULUCF|PM25|Premature mortality", US_national_yearly!$D:$AM, 10, FALSE), 1)</f>
        <v>1.8683272653160642E-3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3.1943062996605444E-6</v>
      </c>
      <c r="C3" s="7">
        <f>$B3 * IFERROR(VLOOKUP("LULUCF|PM25|Infant mortality", US_national_yearly!$D:$AM, 11, FALSE) / VLOOKUP("LULUCF|PM25|Infant mortality", US_national_yearly!$D:$AM, 10, FALSE), 1)</f>
        <v>3.1664548635527791E-6</v>
      </c>
      <c r="D3" s="7">
        <f>$B3 * IFERROR(VLOOKUP("LULUCF|PM25|Infant mortality", US_national_yearly!$D:$AM, 12, FALSE) / VLOOKUP("LULUCF|PM25|Infant mortality", US_national_yearly!$D:$AM, 10, FALSE), 1)</f>
        <v>3.1386034274450139E-6</v>
      </c>
      <c r="E3" s="7">
        <f>$B3 * IFERROR(VLOOKUP("LULUCF|PM25|Infant mortality", US_national_yearly!$D:$AM, 13, FALSE) / VLOOKUP("LULUCF|PM25|Infant mortality", US_national_yearly!$D:$AM, 10, FALSE), 1)</f>
        <v>3.1107519913372487E-6</v>
      </c>
      <c r="F3" s="7">
        <f>$B3 * IFERROR(VLOOKUP("LULUCF|PM25|Infant mortality", US_national_yearly!$D:$AM, 14, FALSE) / VLOOKUP("LULUCF|PM25|Infant mortality", US_national_yearly!$D:$AM, 10, FALSE), 1)</f>
        <v>3.0829005552294826E-6</v>
      </c>
      <c r="G3" s="7">
        <f>$B3 * IFERROR(VLOOKUP("LULUCF|PM25|Infant mortality", US_national_yearly!$D:$AM, 15, FALSE) / VLOOKUP("LULUCF|PM25|Infant mortality", US_national_yearly!$D:$AM, 10, FALSE), 1)</f>
        <v>2.0502937796087178E-6</v>
      </c>
      <c r="H3" s="7">
        <f>$B3 * IFERROR(VLOOKUP("LULUCF|PM25|Infant mortality", US_national_yearly!$D:$AM, 16, FALSE) / VLOOKUP("LULUCF|PM25|Infant mortality", US_national_yearly!$D:$AM, 10, FALSE), 1)</f>
        <v>1.0176870039879517E-6</v>
      </c>
      <c r="I3" s="7">
        <f>$B3 * IFERROR(VLOOKUP("LULUCF|PM25|Infant mortality", US_national_yearly!$D:$AM, 17, FALSE) / VLOOKUP("LULUCF|PM25|Infant mortality", US_national_yearly!$D:$AM, 10, FALSE), 1)</f>
        <v>1.0110347383478777E-6</v>
      </c>
      <c r="J3" s="7">
        <f>$B3 * IFERROR(VLOOKUP("LULUCF|PM25|Infant mortality", US_national_yearly!$D:$AM, 18, FALSE) / VLOOKUP("LULUCF|PM25|Infant mortality", US_national_yearly!$D:$AM, 10, FALSE), 1)</f>
        <v>1.0043824727078036E-6</v>
      </c>
      <c r="K3" s="7">
        <f>$B3 * IFERROR(VLOOKUP("LULUCF|PM25|Infant mortality", US_national_yearly!$D:$AM, 19, FALSE) / VLOOKUP("LULUCF|PM25|Infant mortality", US_national_yearly!$D:$AM, 10, FALSE), 1)</f>
        <v>9.9773020706772937E-7</v>
      </c>
      <c r="L3" s="7">
        <f>$B3 * IFERROR(VLOOKUP("LULUCF|PM25|Infant mortality", US_national_yearly!$D:$AM, 20, FALSE) / VLOOKUP("LULUCF|PM25|Infant mortality", US_national_yearly!$D:$AM, 10, FALSE), 1)</f>
        <v>9.9107794142765534E-7</v>
      </c>
      <c r="M3" s="7">
        <f>$B3 * IFERROR(VLOOKUP("LULUCF|PM25|Infant mortality", US_national_yearly!$D:$AM, 21, FALSE) / VLOOKUP("LULUCF|PM25|Infant mortality", US_national_yearly!$D:$AM, 10, FALSE), 1)</f>
        <v>9.8442567578758152E-7</v>
      </c>
      <c r="N3" s="7">
        <f>$B3 * IFERROR(VLOOKUP("LULUCF|PM25|Infant mortality", US_national_yearly!$D:$AM, 22, FALSE) / VLOOKUP("LULUCF|PM25|Infant mortality", US_national_yearly!$D:$AM, 10, FALSE), 1)</f>
        <v>9.8024731648788088E-7</v>
      </c>
      <c r="O3" s="7">
        <f>$B3 * IFERROR(VLOOKUP("LULUCF|PM25|Infant mortality", US_national_yearly!$D:$AM, 23, FALSE) / VLOOKUP("LULUCF|PM25|Infant mortality", US_national_yearly!$D:$AM, 10, FALSE), 1)</f>
        <v>9.7606895718818045E-7</v>
      </c>
      <c r="P3" s="7">
        <f>$B3 * IFERROR(VLOOKUP("LULUCF|PM25|Infant mortality", US_national_yearly!$D:$AM, 24, FALSE) / VLOOKUP("LULUCF|PM25|Infant mortality", US_national_yearly!$D:$AM, 10, FALSE), 1)</f>
        <v>9.7189059788847959E-7</v>
      </c>
      <c r="Q3" s="7">
        <f>$B3 * IFERROR(VLOOKUP("LULUCF|PM25|Infant mortality", US_national_yearly!$D:$AM, 25, FALSE) / VLOOKUP("LULUCF|PM25|Infant mortality", US_national_yearly!$D:$AM, 10, FALSE), 1)</f>
        <v>9.6771223858877916E-7</v>
      </c>
      <c r="R3" s="7">
        <f>$B3 * IFERROR(VLOOKUP("LULUCF|PM25|Infant mortality", US_national_yearly!$D:$AM, 26, FALSE) / VLOOKUP("LULUCF|PM25|Infant mortality", US_national_yearly!$D:$AM, 10, FALSE), 1)</f>
        <v>9.6353387928907852E-7</v>
      </c>
      <c r="S3" s="7">
        <f>$B3 * IFERROR(VLOOKUP("LULUCF|PM25|Infant mortality", US_national_yearly!$D:$AM, 27, FALSE) / VLOOKUP("LULUCF|PM25|Infant mortality", US_national_yearly!$D:$AM, 10, FALSE), 1)</f>
        <v>9.5832546898876618E-7</v>
      </c>
      <c r="T3" s="7">
        <f>$B3 * IFERROR(VLOOKUP("LULUCF|PM25|Infant mortality", US_national_yearly!$D:$AM, 28, FALSE) / VLOOKUP("LULUCF|PM25|Infant mortality", US_national_yearly!$D:$AM, 10, FALSE), 1)</f>
        <v>9.5311705868845374E-7</v>
      </c>
      <c r="U3" s="7">
        <f>$B3 * IFERROR(VLOOKUP("LULUCF|PM25|Infant mortality", US_national_yearly!$D:$AM, 29, FALSE) / VLOOKUP("LULUCF|PM25|Infant mortality", US_national_yearly!$D:$AM, 10, FALSE), 1)</f>
        <v>9.479086483881414E-7</v>
      </c>
      <c r="V3" s="7">
        <f>$B3 * IFERROR(VLOOKUP("LULUCF|PM25|Infant mortality", US_national_yearly!$D:$AM, 30, FALSE) / VLOOKUP("LULUCF|PM25|Infant mortality", US_national_yearly!$D:$AM, 10, FALSE), 1)</f>
        <v>9.4270023808782917E-7</v>
      </c>
      <c r="W3" s="7">
        <f>$B3 * IFERROR(VLOOKUP("LULUCF|PM25|Infant mortality", US_national_yearly!$D:$AM, 31, FALSE) / VLOOKUP("LULUCF|PM25|Infant mortality", US_national_yearly!$D:$AM, 10, FALSE), 1)</f>
        <v>9.3749182778751662E-7</v>
      </c>
      <c r="X3" s="7">
        <f>$B3 * IFERROR(VLOOKUP("LULUCF|PM25|Infant mortality", US_national_yearly!$D:$AM, 32, FALSE) / VLOOKUP("LULUCF|PM25|Infant mortality", US_national_yearly!$D:$AM, 10, FALSE), 1)</f>
        <v>9.3187650685528361E-7</v>
      </c>
      <c r="Y3" s="7">
        <f>$B3 * IFERROR(VLOOKUP("LULUCF|PM25|Infant mortality", US_national_yearly!$D:$AM, 33, FALSE) / VLOOKUP("LULUCF|PM25|Infant mortality", US_national_yearly!$D:$AM, 10, FALSE), 1)</f>
        <v>9.2626118592305028E-7</v>
      </c>
      <c r="Z3" s="7">
        <f>$B3 * IFERROR(VLOOKUP("LULUCF|PM25|Infant mortality", US_national_yearly!$D:$AM, 34, FALSE) / VLOOKUP("LULUCF|PM25|Infant mortality", US_national_yearly!$D:$AM, 10, FALSE), 1)</f>
        <v>9.2064586499081727E-7</v>
      </c>
      <c r="AA3" s="7">
        <f>$B3 * IFERROR(VLOOKUP("LULUCF|PM25|Infant mortality", US_national_yearly!$D:$AM, 35, FALSE) / VLOOKUP("LULUCF|PM25|Infant mortality", US_national_yearly!$D:$AM, 10, FALSE), 1)</f>
        <v>9.1503054405858416E-7</v>
      </c>
      <c r="AB3" s="7">
        <f>$B3 * IFERROR(VLOOKUP("LULUCF|PM25|Infant mortality", US_national_yearly!$D:$AM, 36, FALSE) / VLOOKUP("LULUCF|PM25|Infant mortality", US_national_yearly!$D:$AM, 10, FALSE), 1)</f>
        <v>9.0941522312635115E-7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3.6198681287924568E-3</v>
      </c>
      <c r="C6" s="7">
        <f>$B6 * IFERROR(VLOOKUP("LULUCF|PM25|Asthma symptoms cough", US_national_yearly!$D:$AM, 11, FALSE) / VLOOKUP("LULUCF|PM25|Asthma symptoms cough", US_national_yearly!$D:$AM, 10, FALSE), 1)</f>
        <v>3.6198681287924568E-3</v>
      </c>
      <c r="D6" s="7">
        <f>$B6 * IFERROR(VLOOKUP("LULUCF|PM25|Asthma symptoms cough", US_national_yearly!$D:$AM, 12, FALSE) / VLOOKUP("LULUCF|PM25|Asthma symptoms cough", US_national_yearly!$D:$AM, 10, FALSE), 1)</f>
        <v>3.6198681287924568E-3</v>
      </c>
      <c r="E6" s="7">
        <f>$B6 * IFERROR(VLOOKUP("LULUCF|PM25|Asthma symptoms cough", US_national_yearly!$D:$AM, 13, FALSE) / VLOOKUP("LULUCF|PM25|Asthma symptoms cough", US_national_yearly!$D:$AM, 10, FALSE), 1)</f>
        <v>3.6198681287924568E-3</v>
      </c>
      <c r="F6" s="7">
        <f>$B6 * IFERROR(VLOOKUP("LULUCF|PM25|Asthma symptoms cough", US_national_yearly!$D:$AM, 14, FALSE) / VLOOKUP("LULUCF|PM25|Asthma symptoms cough", US_national_yearly!$D:$AM, 10, FALSE), 1)</f>
        <v>3.6198681287924568E-3</v>
      </c>
      <c r="G6" s="7">
        <f>$B6 * IFERROR(VLOOKUP("LULUCF|PM25|Asthma symptoms cough", US_national_yearly!$D:$AM, 15, FALSE) / VLOOKUP("LULUCF|PM25|Asthma symptoms cough", US_national_yearly!$D:$AM, 10, FALSE), 1)</f>
        <v>3.6198681287924568E-3</v>
      </c>
      <c r="H6" s="7">
        <f>$B6 * IFERROR(VLOOKUP("LULUCF|PM25|Asthma symptoms cough", US_national_yearly!$D:$AM, 16, FALSE) / VLOOKUP("LULUCF|PM25|Asthma symptoms cough", US_national_yearly!$D:$AM, 10, FALSE), 1)</f>
        <v>3.6198681287924568E-3</v>
      </c>
      <c r="I6" s="7">
        <f>$B6 * IFERROR(VLOOKUP("LULUCF|PM25|Asthma symptoms cough", US_national_yearly!$D:$AM, 17, FALSE) / VLOOKUP("LULUCF|PM25|Asthma symptoms cough", US_national_yearly!$D:$AM, 10, FALSE), 1)</f>
        <v>3.6198681287924568E-3</v>
      </c>
      <c r="J6" s="7">
        <f>$B6 * IFERROR(VLOOKUP("LULUCF|PM25|Asthma symptoms cough", US_national_yearly!$D:$AM, 18, FALSE) / VLOOKUP("LULUCF|PM25|Asthma symptoms cough", US_national_yearly!$D:$AM, 10, FALSE), 1)</f>
        <v>3.6198681287924568E-3</v>
      </c>
      <c r="K6" s="7">
        <f>$B6 * IFERROR(VLOOKUP("LULUCF|PM25|Asthma symptoms cough", US_national_yearly!$D:$AM, 19, FALSE) / VLOOKUP("LULUCF|PM25|Asthma symptoms cough", US_national_yearly!$D:$AM, 10, FALSE), 1)</f>
        <v>3.6198681287924568E-3</v>
      </c>
      <c r="L6" s="7">
        <f>$B6 * IFERROR(VLOOKUP("LULUCF|PM25|Asthma symptoms cough", US_national_yearly!$D:$AM, 20, FALSE) / VLOOKUP("LULUCF|PM25|Asthma symptoms cough", US_national_yearly!$D:$AM, 10, FALSE), 1)</f>
        <v>3.6198681287924568E-3</v>
      </c>
      <c r="M6" s="7">
        <f>$B6 * IFERROR(VLOOKUP("LULUCF|PM25|Asthma symptoms cough", US_national_yearly!$D:$AM, 21, FALSE) / VLOOKUP("LULUCF|PM25|Asthma symptoms cough", US_national_yearly!$D:$AM, 10, FALSE), 1)</f>
        <v>3.6198681287924568E-3</v>
      </c>
      <c r="N6" s="7">
        <f>$B6 * IFERROR(VLOOKUP("LULUCF|PM25|Asthma symptoms cough", US_national_yearly!$D:$AM, 22, FALSE) / VLOOKUP("LULUCF|PM25|Asthma symptoms cough", US_national_yearly!$D:$AM, 10, FALSE), 1)</f>
        <v>3.6198681287924568E-3</v>
      </c>
      <c r="O6" s="7">
        <f>$B6 * IFERROR(VLOOKUP("LULUCF|PM25|Asthma symptoms cough", US_national_yearly!$D:$AM, 23, FALSE) / VLOOKUP("LULUCF|PM25|Asthma symptoms cough", US_national_yearly!$D:$AM, 10, FALSE), 1)</f>
        <v>3.6198681287924568E-3</v>
      </c>
      <c r="P6" s="7">
        <f>$B6 * IFERROR(VLOOKUP("LULUCF|PM25|Asthma symptoms cough", US_national_yearly!$D:$AM, 24, FALSE) / VLOOKUP("LULUCF|PM25|Asthma symptoms cough", US_national_yearly!$D:$AM, 10, FALSE), 1)</f>
        <v>3.6198681287924568E-3</v>
      </c>
      <c r="Q6" s="7">
        <f>$B6 * IFERROR(VLOOKUP("LULUCF|PM25|Asthma symptoms cough", US_national_yearly!$D:$AM, 25, FALSE) / VLOOKUP("LULUCF|PM25|Asthma symptoms cough", US_national_yearly!$D:$AM, 10, FALSE), 1)</f>
        <v>3.6198681287924568E-3</v>
      </c>
      <c r="R6" s="7">
        <f>$B6 * IFERROR(VLOOKUP("LULUCF|PM25|Asthma symptoms cough", US_national_yearly!$D:$AM, 26, FALSE) / VLOOKUP("LULUCF|PM25|Asthma symptoms cough", US_national_yearly!$D:$AM, 10, FALSE), 1)</f>
        <v>3.6198681287924568E-3</v>
      </c>
      <c r="S6" s="7">
        <f>$B6 * IFERROR(VLOOKUP("LULUCF|PM25|Asthma symptoms cough", US_national_yearly!$D:$AM, 27, FALSE) / VLOOKUP("LULUCF|PM25|Asthma symptoms cough", US_national_yearly!$D:$AM, 10, FALSE), 1)</f>
        <v>3.6198681287924568E-3</v>
      </c>
      <c r="T6" s="7">
        <f>$B6 * IFERROR(VLOOKUP("LULUCF|PM25|Asthma symptoms cough", US_national_yearly!$D:$AM, 28, FALSE) / VLOOKUP("LULUCF|PM25|Asthma symptoms cough", US_national_yearly!$D:$AM, 10, FALSE), 1)</f>
        <v>3.6198681287924568E-3</v>
      </c>
      <c r="U6" s="7">
        <f>$B6 * IFERROR(VLOOKUP("LULUCF|PM25|Asthma symptoms cough", US_national_yearly!$D:$AM, 29, FALSE) / VLOOKUP("LULUCF|PM25|Asthma symptoms cough", US_national_yearly!$D:$AM, 10, FALSE), 1)</f>
        <v>3.6198681287924568E-3</v>
      </c>
      <c r="V6" s="7">
        <f>$B6 * IFERROR(VLOOKUP("LULUCF|PM25|Asthma symptoms cough", US_national_yearly!$D:$AM, 30, FALSE) / VLOOKUP("LULUCF|PM25|Asthma symptoms cough", US_national_yearly!$D:$AM, 10, FALSE), 1)</f>
        <v>3.6198681287924568E-3</v>
      </c>
      <c r="W6" s="7">
        <f>$B6 * IFERROR(VLOOKUP("LULUCF|PM25|Asthma symptoms cough", US_national_yearly!$D:$AM, 31, FALSE) / VLOOKUP("LULUCF|PM25|Asthma symptoms cough", US_national_yearly!$D:$AM, 10, FALSE), 1)</f>
        <v>3.6198681287924568E-3</v>
      </c>
      <c r="X6" s="7">
        <f>$B6 * IFERROR(VLOOKUP("LULUCF|PM25|Asthma symptoms cough", US_national_yearly!$D:$AM, 32, FALSE) / VLOOKUP("LULUCF|PM25|Asthma symptoms cough", US_national_yearly!$D:$AM, 10, FALSE), 1)</f>
        <v>3.6198681287924568E-3</v>
      </c>
      <c r="Y6" s="7">
        <f>$B6 * IFERROR(VLOOKUP("LULUCF|PM25|Asthma symptoms cough", US_national_yearly!$D:$AM, 33, FALSE) / VLOOKUP("LULUCF|PM25|Asthma symptoms cough", US_national_yearly!$D:$AM, 10, FALSE), 1)</f>
        <v>3.6198681287924568E-3</v>
      </c>
      <c r="Z6" s="7">
        <f>$B6 * IFERROR(VLOOKUP("LULUCF|PM25|Asthma symptoms cough", US_national_yearly!$D:$AM, 34, FALSE) / VLOOKUP("LULUCF|PM25|Asthma symptoms cough", US_national_yearly!$D:$AM, 10, FALSE), 1)</f>
        <v>3.6198681287924568E-3</v>
      </c>
      <c r="AA6" s="7">
        <f>$B6 * IFERROR(VLOOKUP("LULUCF|PM25|Asthma symptoms cough", US_national_yearly!$D:$AM, 35, FALSE) / VLOOKUP("LULUCF|PM25|Asthma symptoms cough", US_national_yearly!$D:$AM, 10, FALSE), 1)</f>
        <v>3.6198681287924568E-3</v>
      </c>
      <c r="AB6" s="7">
        <f>$B6 * IFERROR(VLOOKUP("LULUCF|PM25|Asthma symptoms cough", US_national_yearly!$D:$AM, 36, FALSE) / VLOOKUP("LULUCF|PM25|Asthma symptoms cough", US_national_yearly!$D:$AM, 10, FALSE), 1)</f>
        <v>3.6198681287924568E-3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4.874668686513435E-3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4.874668686513435E-3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4.874668686513435E-3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4.874668686513435E-3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4.874668686513435E-3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4.874668686513435E-3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4.874668686513435E-3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4.874668686513435E-3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4.874668686513435E-3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4.874668686513435E-3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4.874668686513435E-3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4.874668686513435E-3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4.874668686513435E-3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4.874668686513435E-3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4.874668686513435E-3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4.874668686513435E-3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4.874668686513435E-3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4.874668686513435E-3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4.874668686513435E-3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4.874668686513435E-3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4.874668686513435E-3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4.874668686513435E-3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4.874668686513435E-3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4.874668686513435E-3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4.874668686513435E-3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4.874668686513435E-3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4.874668686513435E-3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7.4476997429946618E-3</v>
      </c>
      <c r="C8" s="7">
        <f>$B8 * IFERROR(VLOOKUP("LULUCF|PM25|Asthma symptoms wheeze", US_national_yearly!$D:$AM, 11, FALSE) / VLOOKUP("LULUCF|PM25|Asthma symptoms wheeze", US_national_yearly!$D:$AM, 10, FALSE), 1)</f>
        <v>7.4476997429946618E-3</v>
      </c>
      <c r="D8" s="7">
        <f>$B8 * IFERROR(VLOOKUP("LULUCF|PM25|Asthma symptoms wheeze", US_national_yearly!$D:$AM, 12, FALSE) / VLOOKUP("LULUCF|PM25|Asthma symptoms wheeze", US_national_yearly!$D:$AM, 10, FALSE), 1)</f>
        <v>7.4476997429946618E-3</v>
      </c>
      <c r="E8" s="7">
        <f>$B8 * IFERROR(VLOOKUP("LULUCF|PM25|Asthma symptoms wheeze", US_national_yearly!$D:$AM, 13, FALSE) / VLOOKUP("LULUCF|PM25|Asthma symptoms wheeze", US_national_yearly!$D:$AM, 10, FALSE), 1)</f>
        <v>7.4476997429946618E-3</v>
      </c>
      <c r="F8" s="7">
        <f>$B8 * IFERROR(VLOOKUP("LULUCF|PM25|Asthma symptoms wheeze", US_national_yearly!$D:$AM, 14, FALSE) / VLOOKUP("LULUCF|PM25|Asthma symptoms wheeze", US_national_yearly!$D:$AM, 10, FALSE), 1)</f>
        <v>7.4476997429946618E-3</v>
      </c>
      <c r="G8" s="7">
        <f>$B8 * IFERROR(VLOOKUP("LULUCF|PM25|Asthma symptoms wheeze", US_national_yearly!$D:$AM, 15, FALSE) / VLOOKUP("LULUCF|PM25|Asthma symptoms wheeze", US_national_yearly!$D:$AM, 10, FALSE), 1)</f>
        <v>7.4476997429946618E-3</v>
      </c>
      <c r="H8" s="7">
        <f>$B8 * IFERROR(VLOOKUP("LULUCF|PM25|Asthma symptoms wheeze", US_national_yearly!$D:$AM, 16, FALSE) / VLOOKUP("LULUCF|PM25|Asthma symptoms wheeze", US_national_yearly!$D:$AM, 10, FALSE), 1)</f>
        <v>7.4476997429946618E-3</v>
      </c>
      <c r="I8" s="7">
        <f>$B8 * IFERROR(VLOOKUP("LULUCF|PM25|Asthma symptoms wheeze", US_national_yearly!$D:$AM, 17, FALSE) / VLOOKUP("LULUCF|PM25|Asthma symptoms wheeze", US_national_yearly!$D:$AM, 10, FALSE), 1)</f>
        <v>7.4476997429946618E-3</v>
      </c>
      <c r="J8" s="7">
        <f>$B8 * IFERROR(VLOOKUP("LULUCF|PM25|Asthma symptoms wheeze", US_national_yearly!$D:$AM, 18, FALSE) / VLOOKUP("LULUCF|PM25|Asthma symptoms wheeze", US_national_yearly!$D:$AM, 10, FALSE), 1)</f>
        <v>7.4476997429946618E-3</v>
      </c>
      <c r="K8" s="7">
        <f>$B8 * IFERROR(VLOOKUP("LULUCF|PM25|Asthma symptoms wheeze", US_national_yearly!$D:$AM, 19, FALSE) / VLOOKUP("LULUCF|PM25|Asthma symptoms wheeze", US_national_yearly!$D:$AM, 10, FALSE), 1)</f>
        <v>7.4476997429946618E-3</v>
      </c>
      <c r="L8" s="7">
        <f>$B8 * IFERROR(VLOOKUP("LULUCF|PM25|Asthma symptoms wheeze", US_national_yearly!$D:$AM, 20, FALSE) / VLOOKUP("LULUCF|PM25|Asthma symptoms wheeze", US_national_yearly!$D:$AM, 10, FALSE), 1)</f>
        <v>7.4476997429946618E-3</v>
      </c>
      <c r="M8" s="7">
        <f>$B8 * IFERROR(VLOOKUP("LULUCF|PM25|Asthma symptoms wheeze", US_national_yearly!$D:$AM, 21, FALSE) / VLOOKUP("LULUCF|PM25|Asthma symptoms wheeze", US_national_yearly!$D:$AM, 10, FALSE), 1)</f>
        <v>7.4476997429946618E-3</v>
      </c>
      <c r="N8" s="7">
        <f>$B8 * IFERROR(VLOOKUP("LULUCF|PM25|Asthma symptoms wheeze", US_national_yearly!$D:$AM, 22, FALSE) / VLOOKUP("LULUCF|PM25|Asthma symptoms wheeze", US_national_yearly!$D:$AM, 10, FALSE), 1)</f>
        <v>7.4476997429946618E-3</v>
      </c>
      <c r="O8" s="7">
        <f>$B8 * IFERROR(VLOOKUP("LULUCF|PM25|Asthma symptoms wheeze", US_national_yearly!$D:$AM, 23, FALSE) / VLOOKUP("LULUCF|PM25|Asthma symptoms wheeze", US_national_yearly!$D:$AM, 10, FALSE), 1)</f>
        <v>7.4476997429946618E-3</v>
      </c>
      <c r="P8" s="7">
        <f>$B8 * IFERROR(VLOOKUP("LULUCF|PM25|Asthma symptoms wheeze", US_national_yearly!$D:$AM, 24, FALSE) / VLOOKUP("LULUCF|PM25|Asthma symptoms wheeze", US_national_yearly!$D:$AM, 10, FALSE), 1)</f>
        <v>7.4476997429946618E-3</v>
      </c>
      <c r="Q8" s="7">
        <f>$B8 * IFERROR(VLOOKUP("LULUCF|PM25|Asthma symptoms wheeze", US_national_yearly!$D:$AM, 25, FALSE) / VLOOKUP("LULUCF|PM25|Asthma symptoms wheeze", US_national_yearly!$D:$AM, 10, FALSE), 1)</f>
        <v>7.4476997429946618E-3</v>
      </c>
      <c r="R8" s="7">
        <f>$B8 * IFERROR(VLOOKUP("LULUCF|PM25|Asthma symptoms wheeze", US_national_yearly!$D:$AM, 26, FALSE) / VLOOKUP("LULUCF|PM25|Asthma symptoms wheeze", US_national_yearly!$D:$AM, 10, FALSE), 1)</f>
        <v>7.4476997429946618E-3</v>
      </c>
      <c r="S8" s="7">
        <f>$B8 * IFERROR(VLOOKUP("LULUCF|PM25|Asthma symptoms wheeze", US_national_yearly!$D:$AM, 27, FALSE) / VLOOKUP("LULUCF|PM25|Asthma symptoms wheeze", US_national_yearly!$D:$AM, 10, FALSE), 1)</f>
        <v>7.4476997429946618E-3</v>
      </c>
      <c r="T8" s="7">
        <f>$B8 * IFERROR(VLOOKUP("LULUCF|PM25|Asthma symptoms wheeze", US_national_yearly!$D:$AM, 28, FALSE) / VLOOKUP("LULUCF|PM25|Asthma symptoms wheeze", US_national_yearly!$D:$AM, 10, FALSE), 1)</f>
        <v>7.4476997429946618E-3</v>
      </c>
      <c r="U8" s="7">
        <f>$B8 * IFERROR(VLOOKUP("LULUCF|PM25|Asthma symptoms wheeze", US_national_yearly!$D:$AM, 29, FALSE) / VLOOKUP("LULUCF|PM25|Asthma symptoms wheeze", US_national_yearly!$D:$AM, 10, FALSE), 1)</f>
        <v>7.4476997429946618E-3</v>
      </c>
      <c r="V8" s="7">
        <f>$B8 * IFERROR(VLOOKUP("LULUCF|PM25|Asthma symptoms wheeze", US_national_yearly!$D:$AM, 30, FALSE) / VLOOKUP("LULUCF|PM25|Asthma symptoms wheeze", US_national_yearly!$D:$AM, 10, FALSE), 1)</f>
        <v>7.4476997429946618E-3</v>
      </c>
      <c r="W8" s="7">
        <f>$B8 * IFERROR(VLOOKUP("LULUCF|PM25|Asthma symptoms wheeze", US_national_yearly!$D:$AM, 31, FALSE) / VLOOKUP("LULUCF|PM25|Asthma symptoms wheeze", US_national_yearly!$D:$AM, 10, FALSE), 1)</f>
        <v>7.4476997429946618E-3</v>
      </c>
      <c r="X8" s="7">
        <f>$B8 * IFERROR(VLOOKUP("LULUCF|PM25|Asthma symptoms wheeze", US_national_yearly!$D:$AM, 32, FALSE) / VLOOKUP("LULUCF|PM25|Asthma symptoms wheeze", US_national_yearly!$D:$AM, 10, FALSE), 1)</f>
        <v>7.4476997429946618E-3</v>
      </c>
      <c r="Y8" s="7">
        <f>$B8 * IFERROR(VLOOKUP("LULUCF|PM25|Asthma symptoms wheeze", US_national_yearly!$D:$AM, 33, FALSE) / VLOOKUP("LULUCF|PM25|Asthma symptoms wheeze", US_national_yearly!$D:$AM, 10, FALSE), 1)</f>
        <v>7.4476997429946618E-3</v>
      </c>
      <c r="Z8" s="7">
        <f>$B8 * IFERROR(VLOOKUP("LULUCF|PM25|Asthma symptoms wheeze", US_national_yearly!$D:$AM, 34, FALSE) / VLOOKUP("LULUCF|PM25|Asthma symptoms wheeze", US_national_yearly!$D:$AM, 10, FALSE), 1)</f>
        <v>7.4476997429946618E-3</v>
      </c>
      <c r="AA8" s="7">
        <f>$B8 * IFERROR(VLOOKUP("LULUCF|PM25|Asthma symptoms wheeze", US_national_yearly!$D:$AM, 35, FALSE) / VLOOKUP("LULUCF|PM25|Asthma symptoms wheeze", US_national_yearly!$D:$AM, 10, FALSE), 1)</f>
        <v>7.4476997429946618E-3</v>
      </c>
      <c r="AB8" s="7">
        <f>$B8 * IFERROR(VLOOKUP("LULUCF|PM25|Asthma symptoms wheeze", US_national_yearly!$D:$AM, 36, FALSE) / VLOOKUP("LULUCF|PM25|Asthma symptoms wheeze", US_national_yearly!$D:$AM, 10, FALSE), 1)</f>
        <v>7.4476997429946618E-3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1.1200307861426815E-4</v>
      </c>
      <c r="C12" s="7">
        <f>$B12 * IFERROR(VLOOKUP("LULUCF|PM25|Respiratory hospital admissions", US_national_yearly!$D:$AM, 11, FALSE) / VLOOKUP("LULUCF|PM25|Respiratory hospital admissions", US_national_yearly!$D:$AM, 10, FALSE), 1)</f>
        <v>1.1264503511726561E-4</v>
      </c>
      <c r="D12" s="7">
        <f>$B12 * IFERROR(VLOOKUP("LULUCF|PM25|Respiratory hospital admissions", US_national_yearly!$D:$AM, 12, FALSE) / VLOOKUP("LULUCF|PM25|Respiratory hospital admissions", US_national_yearly!$D:$AM, 10, FALSE), 1)</f>
        <v>1.1328699162026305E-4</v>
      </c>
      <c r="E12" s="7">
        <f>$B12 * IFERROR(VLOOKUP("LULUCF|PM25|Respiratory hospital admissions", US_national_yearly!$D:$AM, 13, FALSE) / VLOOKUP("LULUCF|PM25|Respiratory hospital admissions", US_national_yearly!$D:$AM, 10, FALSE), 1)</f>
        <v>1.139289481232605E-4</v>
      </c>
      <c r="F12" s="7">
        <f>$B12 * IFERROR(VLOOKUP("LULUCF|PM25|Respiratory hospital admissions", US_national_yearly!$D:$AM, 14, FALSE) / VLOOKUP("LULUCF|PM25|Respiratory hospital admissions", US_national_yearly!$D:$AM, 10, FALSE), 1)</f>
        <v>1.1457090462625793E-4</v>
      </c>
      <c r="G12" s="7">
        <f>$B12 * IFERROR(VLOOKUP("LULUCF|PM25|Respiratory hospital admissions", US_national_yearly!$D:$AM, 15, FALSE) / VLOOKUP("LULUCF|PM25|Respiratory hospital admissions", US_national_yearly!$D:$AM, 10, FALSE), 1)</f>
        <v>1.1526424503232679E-4</v>
      </c>
      <c r="H12" s="7">
        <f>$B12 * IFERROR(VLOOKUP("LULUCF|PM25|Respiratory hospital admissions", US_national_yearly!$D:$AM, 16, FALSE) / VLOOKUP("LULUCF|PM25|Respiratory hospital admissions", US_national_yearly!$D:$AM, 10, FALSE), 1)</f>
        <v>1.1595758543839564E-4</v>
      </c>
      <c r="I12" s="7">
        <f>$B12 * IFERROR(VLOOKUP("LULUCF|PM25|Respiratory hospital admissions", US_national_yearly!$D:$AM, 17, FALSE) / VLOOKUP("LULUCF|PM25|Respiratory hospital admissions", US_national_yearly!$D:$AM, 10, FALSE), 1)</f>
        <v>1.166200458539574E-4</v>
      </c>
      <c r="J12" s="7">
        <f>$B12 * IFERROR(VLOOKUP("LULUCF|PM25|Respiratory hospital admissions", US_national_yearly!$D:$AM, 18, FALSE) / VLOOKUP("LULUCF|PM25|Respiratory hospital admissions", US_national_yearly!$D:$AM, 10, FALSE), 1)</f>
        <v>1.1728250626951921E-4</v>
      </c>
      <c r="K12" s="7">
        <f>$B12 * IFERROR(VLOOKUP("LULUCF|PM25|Respiratory hospital admissions", US_national_yearly!$D:$AM, 19, FALSE) / VLOOKUP("LULUCF|PM25|Respiratory hospital admissions", US_national_yearly!$D:$AM, 10, FALSE), 1)</f>
        <v>1.1794496668508099E-4</v>
      </c>
      <c r="L12" s="7">
        <f>$B12 * IFERROR(VLOOKUP("LULUCF|PM25|Respiratory hospital admissions", US_national_yearly!$D:$AM, 20, FALSE) / VLOOKUP("LULUCF|PM25|Respiratory hospital admissions", US_national_yearly!$D:$AM, 10, FALSE), 1)</f>
        <v>1.186074271006428E-4</v>
      </c>
      <c r="M12" s="7">
        <f>$B12 * IFERROR(VLOOKUP("LULUCF|PM25|Respiratory hospital admissions", US_national_yearly!$D:$AM, 21, FALSE) / VLOOKUP("LULUCF|PM25|Respiratory hospital admissions", US_national_yearly!$D:$AM, 10, FALSE), 1)</f>
        <v>1.1926988751620457E-4</v>
      </c>
      <c r="N12" s="7">
        <f>$B12 * IFERROR(VLOOKUP("LULUCF|PM25|Respiratory hospital admissions", US_national_yearly!$D:$AM, 22, FALSE) / VLOOKUP("LULUCF|PM25|Respiratory hospital admissions", US_national_yearly!$D:$AM, 10, FALSE), 1)</f>
        <v>1.1974535468825984E-4</v>
      </c>
      <c r="O12" s="7">
        <f>$B12 * IFERROR(VLOOKUP("LULUCF|PM25|Respiratory hospital admissions", US_national_yearly!$D:$AM, 23, FALSE) / VLOOKUP("LULUCF|PM25|Respiratory hospital admissions", US_national_yearly!$D:$AM, 10, FALSE), 1)</f>
        <v>1.202208218603151E-4</v>
      </c>
      <c r="P12" s="7">
        <f>$B12 * IFERROR(VLOOKUP("LULUCF|PM25|Respiratory hospital admissions", US_national_yearly!$D:$AM, 24, FALSE) / VLOOKUP("LULUCF|PM25|Respiratory hospital admissions", US_national_yearly!$D:$AM, 10, FALSE), 1)</f>
        <v>1.2069628903237033E-4</v>
      </c>
      <c r="Q12" s="7">
        <f>$B12 * IFERROR(VLOOKUP("LULUCF|PM25|Respiratory hospital admissions", US_national_yearly!$D:$AM, 25, FALSE) / VLOOKUP("LULUCF|PM25|Respiratory hospital admissions", US_national_yearly!$D:$AM, 10, FALSE), 1)</f>
        <v>1.2117175620442558E-4</v>
      </c>
      <c r="R12" s="7">
        <f>$B12 * IFERROR(VLOOKUP("LULUCF|PM25|Respiratory hospital admissions", US_national_yearly!$D:$AM, 26, FALSE) / VLOOKUP("LULUCF|PM25|Respiratory hospital admissions", US_national_yearly!$D:$AM, 10, FALSE), 1)</f>
        <v>1.2164722337648086E-4</v>
      </c>
      <c r="S12" s="7">
        <f>$B12 * IFERROR(VLOOKUP("LULUCF|PM25|Respiratory hospital admissions", US_national_yearly!$D:$AM, 27, FALSE) / VLOOKUP("LULUCF|PM25|Respiratory hospital admissions", US_national_yearly!$D:$AM, 10, FALSE), 1)</f>
        <v>1.2209993077557402E-4</v>
      </c>
      <c r="T12" s="7">
        <f>$B12 * IFERROR(VLOOKUP("LULUCF|PM25|Respiratory hospital admissions", US_national_yearly!$D:$AM, 28, FALSE) / VLOOKUP("LULUCF|PM25|Respiratory hospital admissions", US_national_yearly!$D:$AM, 10, FALSE), 1)</f>
        <v>1.2255263817466722E-4</v>
      </c>
      <c r="U12" s="7">
        <f>$B12 * IFERROR(VLOOKUP("LULUCF|PM25|Respiratory hospital admissions", US_national_yearly!$D:$AM, 29, FALSE) / VLOOKUP("LULUCF|PM25|Respiratory hospital admissions", US_national_yearly!$D:$AM, 10, FALSE), 1)</f>
        <v>1.230053455737604E-4</v>
      </c>
      <c r="V12" s="7">
        <f>$B12 * IFERROR(VLOOKUP("LULUCF|PM25|Respiratory hospital admissions", US_national_yearly!$D:$AM, 30, FALSE) / VLOOKUP("LULUCF|PM25|Respiratory hospital admissions", US_national_yearly!$D:$AM, 10, FALSE), 1)</f>
        <v>1.2345805297285354E-4</v>
      </c>
      <c r="W12" s="7">
        <f>$B12 * IFERROR(VLOOKUP("LULUCF|PM25|Respiratory hospital admissions", US_national_yearly!$D:$AM, 31, FALSE) / VLOOKUP("LULUCF|PM25|Respiratory hospital admissions", US_national_yearly!$D:$AM, 10, FALSE), 1)</f>
        <v>1.2391076037194672E-4</v>
      </c>
      <c r="X12" s="7">
        <f>$B12 * IFERROR(VLOOKUP("LULUCF|PM25|Respiratory hospital admissions", US_national_yearly!$D:$AM, 32, FALSE) / VLOOKUP("LULUCF|PM25|Respiratory hospital admissions", US_national_yearly!$D:$AM, 10, FALSE), 1)</f>
        <v>1.2434627066468698E-4</v>
      </c>
      <c r="Y12" s="7">
        <f>$B12 * IFERROR(VLOOKUP("LULUCF|PM25|Respiratory hospital admissions", US_national_yearly!$D:$AM, 33, FALSE) / VLOOKUP("LULUCF|PM25|Respiratory hospital admissions", US_national_yearly!$D:$AM, 10, FALSE), 1)</f>
        <v>1.247817809574272E-4</v>
      </c>
      <c r="Z12" s="7">
        <f>$B12 * IFERROR(VLOOKUP("LULUCF|PM25|Respiratory hospital admissions", US_national_yearly!$D:$AM, 34, FALSE) / VLOOKUP("LULUCF|PM25|Respiratory hospital admissions", US_national_yearly!$D:$AM, 10, FALSE), 1)</f>
        <v>1.2521729125016743E-4</v>
      </c>
      <c r="AA12" s="7">
        <f>$B12 * IFERROR(VLOOKUP("LULUCF|PM25|Respiratory hospital admissions", US_national_yearly!$D:$AM, 35, FALSE) / VLOOKUP("LULUCF|PM25|Respiratory hospital admissions", US_national_yearly!$D:$AM, 10, FALSE), 1)</f>
        <v>1.2565280154290764E-4</v>
      </c>
      <c r="AB12" s="7">
        <f>$B12 * IFERROR(VLOOKUP("LULUCF|PM25|Respiratory hospital admissions", US_national_yearly!$D:$AM, 36, FALSE) / VLOOKUP("LULUCF|PM25|Respiratory hospital admissions", US_national_yearly!$D:$AM, 10, FALSE), 1)</f>
        <v>1.2608831183564786E-4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5.3148809787076519E-4</v>
      </c>
      <c r="C13" s="7">
        <f>$B13 * IFERROR(VLOOKUP("LULUCF|PM25|Non-fatal heart attacks", US_national_yearly!$D:$AM, 11, FALSE) / VLOOKUP("LULUCF|PM25|Non-fatal heart attacks", US_national_yearly!$D:$AM, 10, FALSE), 1)</f>
        <v>5.4693986728385896E-4</v>
      </c>
      <c r="D13" s="7">
        <f>$B13 * IFERROR(VLOOKUP("LULUCF|PM25|Non-fatal heart attacks", US_national_yearly!$D:$AM, 12, FALSE) / VLOOKUP("LULUCF|PM25|Non-fatal heart attacks", US_national_yearly!$D:$AM, 10, FALSE), 1)</f>
        <v>5.6239163669695284E-4</v>
      </c>
      <c r="E13" s="7">
        <f>$B13 * IFERROR(VLOOKUP("LULUCF|PM25|Non-fatal heart attacks", US_national_yearly!$D:$AM, 13, FALSE) / VLOOKUP("LULUCF|PM25|Non-fatal heart attacks", US_national_yearly!$D:$AM, 10, FALSE), 1)</f>
        <v>5.778434061100465E-4</v>
      </c>
      <c r="F13" s="7">
        <f>$B13 * IFERROR(VLOOKUP("LULUCF|PM25|Non-fatal heart attacks", US_national_yearly!$D:$AM, 14, FALSE) / VLOOKUP("LULUCF|PM25|Non-fatal heart attacks", US_national_yearly!$D:$AM, 10, FALSE), 1)</f>
        <v>5.9329517552314038E-4</v>
      </c>
      <c r="G13" s="7">
        <f>$B13 * IFERROR(VLOOKUP("LULUCF|PM25|Non-fatal heart attacks", US_national_yearly!$D:$AM, 15, FALSE) / VLOOKUP("LULUCF|PM25|Non-fatal heart attacks", US_national_yearly!$D:$AM, 10, FALSE), 1)</f>
        <v>6.0786717092161193E-4</v>
      </c>
      <c r="H13" s="7">
        <f>$B13 * IFERROR(VLOOKUP("LULUCF|PM25|Non-fatal heart attacks", US_national_yearly!$D:$AM, 16, FALSE) / VLOOKUP("LULUCF|PM25|Non-fatal heart attacks", US_national_yearly!$D:$AM, 10, FALSE), 1)</f>
        <v>6.2243916632008338E-4</v>
      </c>
      <c r="I13" s="7">
        <f>$B13 * IFERROR(VLOOKUP("LULUCF|PM25|Non-fatal heart attacks", US_national_yearly!$D:$AM, 17, FALSE) / VLOOKUP("LULUCF|PM25|Non-fatal heart attacks", US_national_yearly!$D:$AM, 10, FALSE), 1)</f>
        <v>6.3415020171604425E-4</v>
      </c>
      <c r="J13" s="7">
        <f>$B13 * IFERROR(VLOOKUP("LULUCF|PM25|Non-fatal heart attacks", US_national_yearly!$D:$AM, 18, FALSE) / VLOOKUP("LULUCF|PM25|Non-fatal heart attacks", US_national_yearly!$D:$AM, 10, FALSE), 1)</f>
        <v>6.4586123711200501E-4</v>
      </c>
      <c r="K13" s="7">
        <f>$B13 * IFERROR(VLOOKUP("LULUCF|PM25|Non-fatal heart attacks", US_national_yearly!$D:$AM, 19, FALSE) / VLOOKUP("LULUCF|PM25|Non-fatal heart attacks", US_national_yearly!$D:$AM, 10, FALSE), 1)</f>
        <v>6.5757227250796599E-4</v>
      </c>
      <c r="L13" s="7">
        <f>$B13 * IFERROR(VLOOKUP("LULUCF|PM25|Non-fatal heart attacks", US_national_yearly!$D:$AM, 20, FALSE) / VLOOKUP("LULUCF|PM25|Non-fatal heart attacks", US_national_yearly!$D:$AM, 10, FALSE), 1)</f>
        <v>6.6928330790392676E-4</v>
      </c>
      <c r="M13" s="7">
        <f>$B13 * IFERROR(VLOOKUP("LULUCF|PM25|Non-fatal heart attacks", US_national_yearly!$D:$AM, 21, FALSE) / VLOOKUP("LULUCF|PM25|Non-fatal heart attacks", US_national_yearly!$D:$AM, 10, FALSE), 1)</f>
        <v>6.8099434329988774E-4</v>
      </c>
      <c r="N13" s="7">
        <f>$B13 * IFERROR(VLOOKUP("LULUCF|PM25|Non-fatal heart attacks", US_national_yearly!$D:$AM, 22, FALSE) / VLOOKUP("LULUCF|PM25|Non-fatal heart attacks", US_national_yearly!$D:$AM, 10, FALSE), 1)</f>
        <v>6.8854680471847475E-4</v>
      </c>
      <c r="O13" s="7">
        <f>$B13 * IFERROR(VLOOKUP("LULUCF|PM25|Non-fatal heart attacks", US_national_yearly!$D:$AM, 23, FALSE) / VLOOKUP("LULUCF|PM25|Non-fatal heart attacks", US_national_yearly!$D:$AM, 10, FALSE), 1)</f>
        <v>6.9609926613706187E-4</v>
      </c>
      <c r="P13" s="7">
        <f>$B13 * IFERROR(VLOOKUP("LULUCF|PM25|Non-fatal heart attacks", US_national_yearly!$D:$AM, 24, FALSE) / VLOOKUP("LULUCF|PM25|Non-fatal heart attacks", US_national_yearly!$D:$AM, 10, FALSE), 1)</f>
        <v>7.036517275556491E-4</v>
      </c>
      <c r="Q13" s="7">
        <f>$B13 * IFERROR(VLOOKUP("LULUCF|PM25|Non-fatal heart attacks", US_national_yearly!$D:$AM, 25, FALSE) / VLOOKUP("LULUCF|PM25|Non-fatal heart attacks", US_national_yearly!$D:$AM, 10, FALSE), 1)</f>
        <v>7.1120418897423611E-4</v>
      </c>
      <c r="R13" s="7">
        <f>$B13 * IFERROR(VLOOKUP("LULUCF|PM25|Non-fatal heart attacks", US_national_yearly!$D:$AM, 26, FALSE) / VLOOKUP("LULUCF|PM25|Non-fatal heart attacks", US_national_yearly!$D:$AM, 10, FALSE), 1)</f>
        <v>7.1875665039282323E-4</v>
      </c>
      <c r="S13" s="7">
        <f>$B13 * IFERROR(VLOOKUP("LULUCF|PM25|Non-fatal heart attacks", US_national_yearly!$D:$AM, 27, FALSE) / VLOOKUP("LULUCF|PM25|Non-fatal heart attacks", US_national_yearly!$D:$AM, 10, FALSE), 1)</f>
        <v>7.2273399234802724E-4</v>
      </c>
      <c r="T13" s="7">
        <f>$B13 * IFERROR(VLOOKUP("LULUCF|PM25|Non-fatal heart attacks", US_national_yearly!$D:$AM, 28, FALSE) / VLOOKUP("LULUCF|PM25|Non-fatal heart attacks", US_national_yearly!$D:$AM, 10, FALSE), 1)</f>
        <v>7.2671133430323137E-4</v>
      </c>
      <c r="U13" s="7">
        <f>$B13 * IFERROR(VLOOKUP("LULUCF|PM25|Non-fatal heart attacks", US_national_yearly!$D:$AM, 29, FALSE) / VLOOKUP("LULUCF|PM25|Non-fatal heart attacks", US_national_yearly!$D:$AM, 10, FALSE), 1)</f>
        <v>7.306886762584356E-4</v>
      </c>
      <c r="V13" s="7">
        <f>$B13 * IFERROR(VLOOKUP("LULUCF|PM25|Non-fatal heart attacks", US_national_yearly!$D:$AM, 30, FALSE) / VLOOKUP("LULUCF|PM25|Non-fatal heart attacks", US_national_yearly!$D:$AM, 10, FALSE), 1)</f>
        <v>7.3466601821363972E-4</v>
      </c>
      <c r="W13" s="7">
        <f>$B13 * IFERROR(VLOOKUP("LULUCF|PM25|Non-fatal heart attacks", US_national_yearly!$D:$AM, 31, FALSE) / VLOOKUP("LULUCF|PM25|Non-fatal heart attacks", US_national_yearly!$D:$AM, 10, FALSE), 1)</f>
        <v>7.3864336016884373E-4</v>
      </c>
      <c r="X13" s="7">
        <f>$B13 * IFERROR(VLOOKUP("LULUCF|PM25|Non-fatal heart attacks", US_national_yearly!$D:$AM, 32, FALSE) / VLOOKUP("LULUCF|PM25|Non-fatal heart attacks", US_national_yearly!$D:$AM, 10, FALSE), 1)</f>
        <v>7.4166273782467064E-4</v>
      </c>
      <c r="Y13" s="7">
        <f>$B13 * IFERROR(VLOOKUP("LULUCF|PM25|Non-fatal heart attacks", US_national_yearly!$D:$AM, 33, FALSE) / VLOOKUP("LULUCF|PM25|Non-fatal heart attacks", US_national_yearly!$D:$AM, 10, FALSE), 1)</f>
        <v>7.4468211548049776E-4</v>
      </c>
      <c r="Z13" s="7">
        <f>$B13 * IFERROR(VLOOKUP("LULUCF|PM25|Non-fatal heart attacks", US_national_yearly!$D:$AM, 34, FALSE) / VLOOKUP("LULUCF|PM25|Non-fatal heart attacks", US_national_yearly!$D:$AM, 10, FALSE), 1)</f>
        <v>7.4770149313632467E-4</v>
      </c>
      <c r="AA13" s="7">
        <f>$B13 * IFERROR(VLOOKUP("LULUCF|PM25|Non-fatal heart attacks", US_national_yearly!$D:$AM, 35, FALSE) / VLOOKUP("LULUCF|PM25|Non-fatal heart attacks", US_national_yearly!$D:$AM, 10, FALSE), 1)</f>
        <v>7.5072087079215168E-4</v>
      </c>
      <c r="AB13" s="7">
        <f>$B13 * IFERROR(VLOOKUP("LULUCF|PM25|Non-fatal heart attacks", US_national_yearly!$D:$AM, 36, FALSE) / VLOOKUP("LULUCF|PM25|Non-fatal heart attacks", US_national_yearly!$D:$AM, 10, FALSE), 1)</f>
        <v>7.5374024844797858E-4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0.50391704277950888</v>
      </c>
      <c r="C14" s="7">
        <f>$B14 * IFERROR(VLOOKUP("LULUCF|PM25|Minor restricted activity days", US_national_yearly!$D:$AM, 11, FALSE) / VLOOKUP("LULUCF|PM25|Minor restricted activity days", US_national_yearly!$D:$AM, 10, FALSE), 1)</f>
        <v>0.50514766795794397</v>
      </c>
      <c r="D14" s="7">
        <f>$B14 * IFERROR(VLOOKUP("LULUCF|PM25|Minor restricted activity days", US_national_yearly!$D:$AM, 12, FALSE) / VLOOKUP("LULUCF|PM25|Minor restricted activity days", US_national_yearly!$D:$AM, 10, FALSE), 1)</f>
        <v>0.50637829313637894</v>
      </c>
      <c r="E14" s="7">
        <f>$B14 * IFERROR(VLOOKUP("LULUCF|PM25|Minor restricted activity days", US_national_yearly!$D:$AM, 13, FALSE) / VLOOKUP("LULUCF|PM25|Minor restricted activity days", US_national_yearly!$D:$AM, 10, FALSE), 1)</f>
        <v>0.50760891831481414</v>
      </c>
      <c r="F14" s="7">
        <f>$B14 * IFERROR(VLOOKUP("LULUCF|PM25|Minor restricted activity days", US_national_yearly!$D:$AM, 14, FALSE) / VLOOKUP("LULUCF|PM25|Minor restricted activity days", US_national_yearly!$D:$AM, 10, FALSE), 1)</f>
        <v>0.508839543493249</v>
      </c>
      <c r="G14" s="7">
        <f>$B14 * IFERROR(VLOOKUP("LULUCF|PM25|Minor restricted activity days", US_national_yearly!$D:$AM, 15, FALSE) / VLOOKUP("LULUCF|PM25|Minor restricted activity days", US_national_yearly!$D:$AM, 10, FALSE), 1)</f>
        <v>0.51065529411460997</v>
      </c>
      <c r="H14" s="7">
        <f>$B14 * IFERROR(VLOOKUP("LULUCF|PM25|Minor restricted activity days", US_national_yearly!$D:$AM, 16, FALSE) / VLOOKUP("LULUCF|PM25|Minor restricted activity days", US_national_yearly!$D:$AM, 10, FALSE), 1)</f>
        <v>0.51247104473597083</v>
      </c>
      <c r="I14" s="7">
        <f>$B14 * IFERROR(VLOOKUP("LULUCF|PM25|Minor restricted activity days", US_national_yearly!$D:$AM, 17, FALSE) / VLOOKUP("LULUCF|PM25|Minor restricted activity days", US_national_yearly!$D:$AM, 10, FALSE), 1)</f>
        <v>0.51557514681332428</v>
      </c>
      <c r="J14" s="7">
        <f>$B14 * IFERROR(VLOOKUP("LULUCF|PM25|Minor restricted activity days", US_national_yearly!$D:$AM, 18, FALSE) / VLOOKUP("LULUCF|PM25|Minor restricted activity days", US_national_yearly!$D:$AM, 10, FALSE), 1)</f>
        <v>0.51867924889067762</v>
      </c>
      <c r="K14" s="7">
        <f>$B14 * IFERROR(VLOOKUP("LULUCF|PM25|Minor restricted activity days", US_national_yearly!$D:$AM, 19, FALSE) / VLOOKUP("LULUCF|PM25|Minor restricted activity days", US_national_yearly!$D:$AM, 10, FALSE), 1)</f>
        <v>0.52178335096803108</v>
      </c>
      <c r="L14" s="7">
        <f>$B14 * IFERROR(VLOOKUP("LULUCF|PM25|Minor restricted activity days", US_national_yearly!$D:$AM, 20, FALSE) / VLOOKUP("LULUCF|PM25|Minor restricted activity days", US_national_yearly!$D:$AM, 10, FALSE), 1)</f>
        <v>0.52488745304538453</v>
      </c>
      <c r="M14" s="7">
        <f>$B14 * IFERROR(VLOOKUP("LULUCF|PM25|Minor restricted activity days", US_national_yearly!$D:$AM, 21, FALSE) / VLOOKUP("LULUCF|PM25|Minor restricted activity days", US_national_yearly!$D:$AM, 10, FALSE), 1)</f>
        <v>0.52799155512273799</v>
      </c>
      <c r="N14" s="7">
        <f>$B14 * IFERROR(VLOOKUP("LULUCF|PM25|Minor restricted activity days", US_national_yearly!$D:$AM, 22, FALSE) / VLOOKUP("LULUCF|PM25|Minor restricted activity days", US_national_yearly!$D:$AM, 10, FALSE), 1)</f>
        <v>0.53221996017771778</v>
      </c>
      <c r="O14" s="7">
        <f>$B14 * IFERROR(VLOOKUP("LULUCF|PM25|Minor restricted activity days", US_national_yearly!$D:$AM, 23, FALSE) / VLOOKUP("LULUCF|PM25|Minor restricted activity days", US_national_yearly!$D:$AM, 10, FALSE), 1)</f>
        <v>0.53644836523269757</v>
      </c>
      <c r="P14" s="7">
        <f>$B14 * IFERROR(VLOOKUP("LULUCF|PM25|Minor restricted activity days", US_national_yearly!$D:$AM, 24, FALSE) / VLOOKUP("LULUCF|PM25|Minor restricted activity days", US_national_yearly!$D:$AM, 10, FALSE), 1)</f>
        <v>0.54067677028767747</v>
      </c>
      <c r="Q14" s="7">
        <f>$B14 * IFERROR(VLOOKUP("LULUCF|PM25|Minor restricted activity days", US_national_yearly!$D:$AM, 25, FALSE) / VLOOKUP("LULUCF|PM25|Minor restricted activity days", US_national_yearly!$D:$AM, 10, FALSE), 1)</f>
        <v>0.54490517534265714</v>
      </c>
      <c r="R14" s="7">
        <f>$B14 * IFERROR(VLOOKUP("LULUCF|PM25|Minor restricted activity days", US_national_yearly!$D:$AM, 26, FALSE) / VLOOKUP("LULUCF|PM25|Minor restricted activity days", US_national_yearly!$D:$AM, 10, FALSE), 1)</f>
        <v>0.54913358039763693</v>
      </c>
      <c r="S14" s="7">
        <f>$B14 * IFERROR(VLOOKUP("LULUCF|PM25|Minor restricted activity days", US_national_yearly!$D:$AM, 27, FALSE) / VLOOKUP("LULUCF|PM25|Minor restricted activity days", US_national_yearly!$D:$AM, 10, FALSE), 1)</f>
        <v>0.5533911050926692</v>
      </c>
      <c r="T14" s="7">
        <f>$B14 * IFERROR(VLOOKUP("LULUCF|PM25|Minor restricted activity days", US_national_yearly!$D:$AM, 28, FALSE) / VLOOKUP("LULUCF|PM25|Minor restricted activity days", US_national_yearly!$D:$AM, 10, FALSE), 1)</f>
        <v>0.55764862978770136</v>
      </c>
      <c r="U14" s="7">
        <f>$B14 * IFERROR(VLOOKUP("LULUCF|PM25|Minor restricted activity days", US_national_yearly!$D:$AM, 29, FALSE) / VLOOKUP("LULUCF|PM25|Minor restricted activity days", US_national_yearly!$D:$AM, 10, FALSE), 1)</f>
        <v>0.56190615448273362</v>
      </c>
      <c r="V14" s="7">
        <f>$B14 * IFERROR(VLOOKUP("LULUCF|PM25|Minor restricted activity days", US_national_yearly!$D:$AM, 30, FALSE) / VLOOKUP("LULUCF|PM25|Minor restricted activity days", US_national_yearly!$D:$AM, 10, FALSE), 1)</f>
        <v>0.56616367917776589</v>
      </c>
      <c r="W14" s="7">
        <f>$B14 * IFERROR(VLOOKUP("LULUCF|PM25|Minor restricted activity days", US_national_yearly!$D:$AM, 31, FALSE) / VLOOKUP("LULUCF|PM25|Minor restricted activity days", US_national_yearly!$D:$AM, 10, FALSE), 1)</f>
        <v>0.57042120387279815</v>
      </c>
      <c r="X14" s="7">
        <f>$B14 * IFERROR(VLOOKUP("LULUCF|PM25|Minor restricted activity days", US_national_yearly!$D:$AM, 32, FALSE) / VLOOKUP("LULUCF|PM25|Minor restricted activity days", US_national_yearly!$D:$AM, 10, FALSE), 1)</f>
        <v>0.57411716362321963</v>
      </c>
      <c r="Y14" s="7">
        <f>$B14 * IFERROR(VLOOKUP("LULUCF|PM25|Minor restricted activity days", US_national_yearly!$D:$AM, 33, FALSE) / VLOOKUP("LULUCF|PM25|Minor restricted activity days", US_national_yearly!$D:$AM, 10, FALSE), 1)</f>
        <v>0.5778131233736411</v>
      </c>
      <c r="Z14" s="7">
        <f>$B14 * IFERROR(VLOOKUP("LULUCF|PM25|Minor restricted activity days", US_national_yearly!$D:$AM, 34, FALSE) / VLOOKUP("LULUCF|PM25|Minor restricted activity days", US_national_yearly!$D:$AM, 10, FALSE), 1)</f>
        <v>0.58150908312406258</v>
      </c>
      <c r="AA14" s="7">
        <f>$B14 * IFERROR(VLOOKUP("LULUCF|PM25|Minor restricted activity days", US_national_yearly!$D:$AM, 35, FALSE) / VLOOKUP("LULUCF|PM25|Minor restricted activity days", US_national_yearly!$D:$AM, 10, FALSE), 1)</f>
        <v>0.58520504287448394</v>
      </c>
      <c r="AB14" s="7">
        <f>$B14 * IFERROR(VLOOKUP("LULUCF|PM25|Minor restricted activity days", US_national_yearly!$D:$AM, 36, FALSE) / VLOOKUP("LULUCF|PM25|Minor restricted activity days", US_national_yearly!$D:$AM, 10, FALSE), 1)</f>
        <v>0.58890100262490541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8.5794138818876625E-2</v>
      </c>
      <c r="C15" s="7">
        <f>$B15 * IFERROR(VLOOKUP("LULUCF|PM25|Work loss days", US_national_yearly!$D:$AM, 11, FALSE) / VLOOKUP("LULUCF|PM25|Work loss days", US_national_yearly!$D:$AM, 10, FALSE), 1)</f>
        <v>8.6060069748671933E-2</v>
      </c>
      <c r="D15" s="7">
        <f>$B15 * IFERROR(VLOOKUP("LULUCF|PM25|Work loss days", US_national_yearly!$D:$AM, 12, FALSE) / VLOOKUP("LULUCF|PM25|Work loss days", US_national_yearly!$D:$AM, 10, FALSE), 1)</f>
        <v>8.6326000678467255E-2</v>
      </c>
      <c r="E15" s="7">
        <f>$B15 * IFERROR(VLOOKUP("LULUCF|PM25|Work loss days", US_national_yearly!$D:$AM, 13, FALSE) / VLOOKUP("LULUCF|PM25|Work loss days", US_national_yearly!$D:$AM, 10, FALSE), 1)</f>
        <v>8.6591931608262562E-2</v>
      </c>
      <c r="F15" s="7">
        <f>$B15 * IFERROR(VLOOKUP("LULUCF|PM25|Work loss days", US_national_yearly!$D:$AM, 14, FALSE) / VLOOKUP("LULUCF|PM25|Work loss days", US_national_yearly!$D:$AM, 10, FALSE), 1)</f>
        <v>8.685786253805787E-2</v>
      </c>
      <c r="G15" s="7">
        <f>$B15 * IFERROR(VLOOKUP("LULUCF|PM25|Work loss days", US_national_yearly!$D:$AM, 15, FALSE) / VLOOKUP("LULUCF|PM25|Work loss days", US_national_yearly!$D:$AM, 10, FALSE), 1)</f>
        <v>8.7206514956327197E-2</v>
      </c>
      <c r="H15" s="7">
        <f>$B15 * IFERROR(VLOOKUP("LULUCF|PM25|Work loss days", US_national_yearly!$D:$AM, 16, FALSE) / VLOOKUP("LULUCF|PM25|Work loss days", US_national_yearly!$D:$AM, 10, FALSE), 1)</f>
        <v>8.7555167374596551E-2</v>
      </c>
      <c r="I15" s="7">
        <f>$B15 * IFERROR(VLOOKUP("LULUCF|PM25|Work loss days", US_national_yearly!$D:$AM, 17, FALSE) / VLOOKUP("LULUCF|PM25|Work loss days", US_national_yearly!$D:$AM, 10, FALSE), 1)</f>
        <v>8.8068596407002264E-2</v>
      </c>
      <c r="J15" s="7">
        <f>$B15 * IFERROR(VLOOKUP("LULUCF|PM25|Work loss days", US_national_yearly!$D:$AM, 18, FALSE) / VLOOKUP("LULUCF|PM25|Work loss days", US_national_yearly!$D:$AM, 10, FALSE), 1)</f>
        <v>8.8582025439407963E-2</v>
      </c>
      <c r="K15" s="7">
        <f>$B15 * IFERROR(VLOOKUP("LULUCF|PM25|Work loss days", US_national_yearly!$D:$AM, 19, FALSE) / VLOOKUP("LULUCF|PM25|Work loss days", US_national_yearly!$D:$AM, 10, FALSE), 1)</f>
        <v>8.9095454471813676E-2</v>
      </c>
      <c r="L15" s="7">
        <f>$B15 * IFERROR(VLOOKUP("LULUCF|PM25|Work loss days", US_national_yearly!$D:$AM, 20, FALSE) / VLOOKUP("LULUCF|PM25|Work loss days", US_national_yearly!$D:$AM, 10, FALSE), 1)</f>
        <v>8.9608883504219389E-2</v>
      </c>
      <c r="M15" s="7">
        <f>$B15 * IFERROR(VLOOKUP("LULUCF|PM25|Work loss days", US_national_yearly!$D:$AM, 21, FALSE) / VLOOKUP("LULUCF|PM25|Work loss days", US_national_yearly!$D:$AM, 10, FALSE), 1)</f>
        <v>9.0122312536625088E-2</v>
      </c>
      <c r="N15" s="7">
        <f>$B15 * IFERROR(VLOOKUP("LULUCF|PM25|Work loss days", US_national_yearly!$D:$AM, 22, FALSE) / VLOOKUP("LULUCF|PM25|Work loss days", US_national_yearly!$D:$AM, 10, FALSE), 1)</f>
        <v>9.0768501834735574E-2</v>
      </c>
      <c r="O15" s="7">
        <f>$B15 * IFERROR(VLOOKUP("LULUCF|PM25|Work loss days", US_national_yearly!$D:$AM, 23, FALSE) / VLOOKUP("LULUCF|PM25|Work loss days", US_national_yearly!$D:$AM, 10, FALSE), 1)</f>
        <v>9.1414691132846046E-2</v>
      </c>
      <c r="P15" s="7">
        <f>$B15 * IFERROR(VLOOKUP("LULUCF|PM25|Work loss days", US_national_yearly!$D:$AM, 24, FALSE) / VLOOKUP("LULUCF|PM25|Work loss days", US_national_yearly!$D:$AM, 10, FALSE), 1)</f>
        <v>9.2060880430956532E-2</v>
      </c>
      <c r="Q15" s="7">
        <f>$B15 * IFERROR(VLOOKUP("LULUCF|PM25|Work loss days", US_national_yearly!$D:$AM, 25, FALSE) / VLOOKUP("LULUCF|PM25|Work loss days", US_national_yearly!$D:$AM, 10, FALSE), 1)</f>
        <v>9.2707069729067004E-2</v>
      </c>
      <c r="R15" s="7">
        <f>$B15 * IFERROR(VLOOKUP("LULUCF|PM25|Work loss days", US_national_yearly!$D:$AM, 26, FALSE) / VLOOKUP("LULUCF|PM25|Work loss days", US_national_yearly!$D:$AM, 10, FALSE), 1)</f>
        <v>9.335325902717749E-2</v>
      </c>
      <c r="S15" s="7">
        <f>$B15 * IFERROR(VLOOKUP("LULUCF|PM25|Work loss days", US_national_yearly!$D:$AM, 27, FALSE) / VLOOKUP("LULUCF|PM25|Work loss days", US_national_yearly!$D:$AM, 10, FALSE), 1)</f>
        <v>9.4067971978940165E-2</v>
      </c>
      <c r="T15" s="7">
        <f>$B15 * IFERROR(VLOOKUP("LULUCF|PM25|Work loss days", US_national_yearly!$D:$AM, 28, FALSE) / VLOOKUP("LULUCF|PM25|Work loss days", US_national_yearly!$D:$AM, 10, FALSE), 1)</f>
        <v>9.4782684930702854E-2</v>
      </c>
      <c r="U15" s="7">
        <f>$B15 * IFERROR(VLOOKUP("LULUCF|PM25|Work loss days", US_national_yearly!$D:$AM, 29, FALSE) / VLOOKUP("LULUCF|PM25|Work loss days", US_national_yearly!$D:$AM, 10, FALSE), 1)</f>
        <v>9.5497397882465515E-2</v>
      </c>
      <c r="V15" s="7">
        <f>$B15 * IFERROR(VLOOKUP("LULUCF|PM25|Work loss days", US_national_yearly!$D:$AM, 30, FALSE) / VLOOKUP("LULUCF|PM25|Work loss days", US_national_yearly!$D:$AM, 10, FALSE), 1)</f>
        <v>9.6212110834228218E-2</v>
      </c>
      <c r="W15" s="7">
        <f>$B15 * IFERROR(VLOOKUP("LULUCF|PM25|Work loss days", US_national_yearly!$D:$AM, 31, FALSE) / VLOOKUP("LULUCF|PM25|Work loss days", US_national_yearly!$D:$AM, 10, FALSE), 1)</f>
        <v>9.6926823785990893E-2</v>
      </c>
      <c r="X15" s="7">
        <f>$B15 * IFERROR(VLOOKUP("LULUCF|PM25|Work loss days", US_national_yearly!$D:$AM, 32, FALSE) / VLOOKUP("LULUCF|PM25|Work loss days", US_national_yearly!$D:$AM, 10, FALSE), 1)</f>
        <v>9.7560966934876439E-2</v>
      </c>
      <c r="Y15" s="7">
        <f>$B15 * IFERROR(VLOOKUP("LULUCF|PM25|Work loss days", US_national_yearly!$D:$AM, 33, FALSE) / VLOOKUP("LULUCF|PM25|Work loss days", US_national_yearly!$D:$AM, 10, FALSE), 1)</f>
        <v>9.8195110083761999E-2</v>
      </c>
      <c r="Z15" s="7">
        <f>$B15 * IFERROR(VLOOKUP("LULUCF|PM25|Work loss days", US_national_yearly!$D:$AM, 34, FALSE) / VLOOKUP("LULUCF|PM25|Work loss days", US_national_yearly!$D:$AM, 10, FALSE), 1)</f>
        <v>9.882925323264756E-2</v>
      </c>
      <c r="AA15" s="7">
        <f>$B15 * IFERROR(VLOOKUP("LULUCF|PM25|Work loss days", US_national_yearly!$D:$AM, 35, FALSE) / VLOOKUP("LULUCF|PM25|Work loss days", US_national_yearly!$D:$AM, 10, FALSE), 1)</f>
        <v>9.9463396381533134E-2</v>
      </c>
      <c r="AB15" s="7">
        <f>$B15 * IFERROR(VLOOKUP("LULUCF|PM25|Work loss days", US_national_yearly!$D:$AM, 36, FALSE) / VLOOKUP("LULUCF|PM25|Work loss days", US_national_yearly!$D:$AM, 10, FALSE), 1)</f>
        <v>0.10009753953041869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1.2675566639488241E-4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1.3054321409562429E-4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1.3433076179636619E-4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1.381183094971081E-4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1.4190585719785001E-4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1.4553365133782253E-4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1.4916144547779512E-4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1.5226413420018221E-4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1.553668229225693E-4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1.5846951164495636E-4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1.6157220036734348E-4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1.6467488908973054E-4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1.6674352249946583E-4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1.6881215590920114E-4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1.708807893189364E-4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1.7294942272867172E-4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1.75018056138407E-4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1.7611255634198295E-4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1.7720705654555887E-4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1.7830155674913476E-4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1.7939605695271068E-4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1.804905571562866E-4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1.8122738909035689E-4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1.8196422102442718E-4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1.8270105295849746E-4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1.8343788489256775E-4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1.8417471682663803E-4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1.4629848238185774E-3</v>
      </c>
      <c r="C2" s="7">
        <f>$B2 * IFERROR(VLOOKUP("LULUCF|NOx|Premature mortality", US_national_yearly!$D:$AM, 11, FALSE) / VLOOKUP("LULUCF|NOx|Premature mortality", US_national_yearly!$D:$AM, 10, FALSE), 1)</f>
        <v>1.4844735980655858E-3</v>
      </c>
      <c r="D2" s="7">
        <f>$B2 * IFERROR(VLOOKUP("LULUCF|NOx|Premature mortality", US_national_yearly!$D:$AM, 12, FALSE) / VLOOKUP("LULUCF|NOx|Premature mortality", US_national_yearly!$D:$AM, 10, FALSE), 1)</f>
        <v>1.505962372312594E-3</v>
      </c>
      <c r="E2" s="7">
        <f>$B2 * IFERROR(VLOOKUP("LULUCF|NOx|Premature mortality", US_national_yearly!$D:$AM, 13, FALSE) / VLOOKUP("LULUCF|NOx|Premature mortality", US_national_yearly!$D:$AM, 10, FALSE), 1)</f>
        <v>1.5274511465596023E-3</v>
      </c>
      <c r="F2" s="7">
        <f>$B2 * IFERROR(VLOOKUP("LULUCF|NOx|Premature mortality", US_national_yearly!$D:$AM, 14, FALSE) / VLOOKUP("LULUCF|NOx|Premature mortality", US_national_yearly!$D:$AM, 10, FALSE), 1)</f>
        <v>1.5489399208066107E-3</v>
      </c>
      <c r="G2" s="7">
        <f>$B2 * IFERROR(VLOOKUP("LULUCF|NOx|Premature mortality", US_national_yearly!$D:$AM, 15, FALSE) / VLOOKUP("LULUCF|NOx|Premature mortality", US_national_yearly!$D:$AM, 10, FALSE), 1)</f>
        <v>1.5875388398205908E-3</v>
      </c>
      <c r="H2" s="7">
        <f>$B2 * IFERROR(VLOOKUP("LULUCF|NOx|Premature mortality", US_national_yearly!$D:$AM, 16, FALSE) / VLOOKUP("LULUCF|NOx|Premature mortality", US_national_yearly!$D:$AM, 10, FALSE), 1)</f>
        <v>1.6261377588345715E-3</v>
      </c>
      <c r="I2" s="7">
        <f>$B2 * IFERROR(VLOOKUP("LULUCF|NOx|Premature mortality", US_national_yearly!$D:$AM, 17, FALSE) / VLOOKUP("LULUCF|NOx|Premature mortality", US_national_yearly!$D:$AM, 10, FALSE), 1)</f>
        <v>1.6510540932269018E-3</v>
      </c>
      <c r="J2" s="7">
        <f>$B2 * IFERROR(VLOOKUP("LULUCF|NOx|Premature mortality", US_national_yearly!$D:$AM, 18, FALSE) / VLOOKUP("LULUCF|NOx|Premature mortality", US_national_yearly!$D:$AM, 10, FALSE), 1)</f>
        <v>1.6759704276192323E-3</v>
      </c>
      <c r="K2" s="7">
        <f>$B2 * IFERROR(VLOOKUP("LULUCF|NOx|Premature mortality", US_national_yearly!$D:$AM, 19, FALSE) / VLOOKUP("LULUCF|NOx|Premature mortality", US_national_yearly!$D:$AM, 10, FALSE), 1)</f>
        <v>1.7008867620115626E-3</v>
      </c>
      <c r="L2" s="7">
        <f>$B2 * IFERROR(VLOOKUP("LULUCF|NOx|Premature mortality", US_national_yearly!$D:$AM, 20, FALSE) / VLOOKUP("LULUCF|NOx|Premature mortality", US_national_yearly!$D:$AM, 10, FALSE), 1)</f>
        <v>1.7258030964038928E-3</v>
      </c>
      <c r="M2" s="7">
        <f>$B2 * IFERROR(VLOOKUP("LULUCF|NOx|Premature mortality", US_national_yearly!$D:$AM, 21, FALSE) / VLOOKUP("LULUCF|NOx|Premature mortality", US_national_yearly!$D:$AM, 10, FALSE), 1)</f>
        <v>1.7507194307962233E-3</v>
      </c>
      <c r="N2" s="7">
        <f>$B2 * IFERROR(VLOOKUP("LULUCF|NOx|Premature mortality", US_national_yearly!$D:$AM, 22, FALSE) / VLOOKUP("LULUCF|NOx|Premature mortality", US_national_yearly!$D:$AM, 10, FALSE), 1)</f>
        <v>1.7691773544507229E-3</v>
      </c>
      <c r="O2" s="7">
        <f>$B2 * IFERROR(VLOOKUP("LULUCF|NOx|Premature mortality", US_national_yearly!$D:$AM, 23, FALSE) / VLOOKUP("LULUCF|NOx|Premature mortality", US_national_yearly!$D:$AM, 10, FALSE), 1)</f>
        <v>1.7876352781052223E-3</v>
      </c>
      <c r="P2" s="7">
        <f>$B2 * IFERROR(VLOOKUP("LULUCF|NOx|Premature mortality", US_national_yearly!$D:$AM, 24, FALSE) / VLOOKUP("LULUCF|NOx|Premature mortality", US_national_yearly!$D:$AM, 10, FALSE), 1)</f>
        <v>1.8060932017597219E-3</v>
      </c>
      <c r="Q2" s="7">
        <f>$B2 * IFERROR(VLOOKUP("LULUCF|NOx|Premature mortality", US_national_yearly!$D:$AM, 25, FALSE) / VLOOKUP("LULUCF|NOx|Premature mortality", US_national_yearly!$D:$AM, 10, FALSE), 1)</f>
        <v>1.8245511254142218E-3</v>
      </c>
      <c r="R2" s="7">
        <f>$B2 * IFERROR(VLOOKUP("LULUCF|NOx|Premature mortality", US_national_yearly!$D:$AM, 26, FALSE) / VLOOKUP("LULUCF|NOx|Premature mortality", US_national_yearly!$D:$AM, 10, FALSE), 1)</f>
        <v>1.8430090490687214E-3</v>
      </c>
      <c r="S2" s="7">
        <f>$B2 * IFERROR(VLOOKUP("LULUCF|NOx|Premature mortality", US_national_yearly!$D:$AM, 27, FALSE) / VLOOKUP("LULUCF|NOx|Premature mortality", US_national_yearly!$D:$AM, 10, FALSE), 1)</f>
        <v>1.8513983612385124E-3</v>
      </c>
      <c r="T2" s="7">
        <f>$B2 * IFERROR(VLOOKUP("LULUCF|NOx|Premature mortality", US_national_yearly!$D:$AM, 28, FALSE) / VLOOKUP("LULUCF|NOx|Premature mortality", US_national_yearly!$D:$AM, 10, FALSE), 1)</f>
        <v>1.8597876734083041E-3</v>
      </c>
      <c r="U2" s="7">
        <f>$B2 * IFERROR(VLOOKUP("LULUCF|NOx|Premature mortality", US_national_yearly!$D:$AM, 29, FALSE) / VLOOKUP("LULUCF|NOx|Premature mortality", US_national_yearly!$D:$AM, 10, FALSE), 1)</f>
        <v>1.8681769855780951E-3</v>
      </c>
      <c r="V2" s="7">
        <f>$B2 * IFERROR(VLOOKUP("LULUCF|NOx|Premature mortality", US_national_yearly!$D:$AM, 30, FALSE) / VLOOKUP("LULUCF|NOx|Premature mortality", US_national_yearly!$D:$AM, 10, FALSE), 1)</f>
        <v>1.8765662977478863E-3</v>
      </c>
      <c r="W2" s="7">
        <f>$B2 * IFERROR(VLOOKUP("LULUCF|NOx|Premature mortality", US_national_yearly!$D:$AM, 31, FALSE) / VLOOKUP("LULUCF|NOx|Premature mortality", US_national_yearly!$D:$AM, 10, FALSE), 1)</f>
        <v>1.8849556099176778E-3</v>
      </c>
      <c r="X2" s="7">
        <f>$B2 * IFERROR(VLOOKUP("LULUCF|NOx|Premature mortality", US_national_yearly!$D:$AM, 32, FALSE) / VLOOKUP("LULUCF|NOx|Premature mortality", US_national_yearly!$D:$AM, 10, FALSE), 1)</f>
        <v>1.8852462108757356E-3</v>
      </c>
      <c r="Y2" s="7">
        <f>$B2 * IFERROR(VLOOKUP("LULUCF|NOx|Premature mortality", US_national_yearly!$D:$AM, 33, FALSE) / VLOOKUP("LULUCF|NOx|Premature mortality", US_national_yearly!$D:$AM, 10, FALSE), 1)</f>
        <v>1.8855368118337937E-3</v>
      </c>
      <c r="Z2" s="7">
        <f>$B2 * IFERROR(VLOOKUP("LULUCF|NOx|Premature mortality", US_national_yearly!$D:$AM, 34, FALSE) / VLOOKUP("LULUCF|NOx|Premature mortality", US_national_yearly!$D:$AM, 10, FALSE), 1)</f>
        <v>1.8858274127918511E-3</v>
      </c>
      <c r="AA2" s="7">
        <f>$B2 * IFERROR(VLOOKUP("LULUCF|NOx|Premature mortality", US_national_yearly!$D:$AM, 35, FALSE) / VLOOKUP("LULUCF|NOx|Premature mortality", US_national_yearly!$D:$AM, 10, FALSE), 1)</f>
        <v>1.8861180137499094E-3</v>
      </c>
      <c r="AB2" s="7">
        <f>$B2 * IFERROR(VLOOKUP("LULUCF|NOx|Premature mortality", US_national_yearly!$D:$AM, 36, FALSE) / VLOOKUP("LULUCF|NOx|Premature mortality", US_national_yearly!$D:$AM, 10, FALSE), 1)</f>
        <v>1.8864086147079673E-3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3.1943062996605444E-6</v>
      </c>
      <c r="C3" s="7">
        <f>$B3 * IFERROR(VLOOKUP("LULUCF|NOx|Infant mortality", US_national_yearly!$D:$AM, 11, FALSE) / VLOOKUP("LULUCF|NOx|Infant mortality", US_national_yearly!$D:$AM, 10, FALSE), 1)</f>
        <v>3.1638723925447418E-6</v>
      </c>
      <c r="D3" s="7">
        <f>$B3 * IFERROR(VLOOKUP("LULUCF|NOx|Infant mortality", US_national_yearly!$D:$AM, 12, FALSE) / VLOOKUP("LULUCF|NOx|Infant mortality", US_national_yearly!$D:$AM, 10, FALSE), 1)</f>
        <v>3.1334384854289389E-6</v>
      </c>
      <c r="E3" s="7">
        <f>$B3 * IFERROR(VLOOKUP("LULUCF|NOx|Infant mortality", US_national_yearly!$D:$AM, 13, FALSE) / VLOOKUP("LULUCF|NOx|Infant mortality", US_national_yearly!$D:$AM, 10, FALSE), 1)</f>
        <v>3.1030045783131363E-6</v>
      </c>
      <c r="F3" s="7">
        <f>$B3 * IFERROR(VLOOKUP("LULUCF|NOx|Infant mortality", US_national_yearly!$D:$AM, 14, FALSE) / VLOOKUP("LULUCF|NOx|Infant mortality", US_national_yearly!$D:$AM, 10, FALSE), 1)</f>
        <v>3.0725706711973337E-6</v>
      </c>
      <c r="G3" s="7">
        <f>$B3 * IFERROR(VLOOKUP("LULUCF|NOx|Infant mortality", US_national_yearly!$D:$AM, 15, FALSE) / VLOOKUP("LULUCF|NOx|Infant mortality", US_national_yearly!$D:$AM, 10, FALSE), 1)</f>
        <v>2.0397241380997769E-6</v>
      </c>
      <c r="H3" s="7">
        <f>$B3 * IFERROR(VLOOKUP("LULUCF|NOx|Infant mortality", US_national_yearly!$D:$AM, 16, FALSE) / VLOOKUP("LULUCF|NOx|Infant mortality", US_national_yearly!$D:$AM, 10, FALSE), 1)</f>
        <v>1.0068776050022205E-6</v>
      </c>
      <c r="I3" s="7">
        <f>$B3 * IFERROR(VLOOKUP("LULUCF|NOx|Infant mortality", US_national_yearly!$D:$AM, 17, FALSE) / VLOOKUP("LULUCF|NOx|Infant mortality", US_national_yearly!$D:$AM, 10, FALSE), 1)</f>
        <v>9.9975801896420017E-7</v>
      </c>
      <c r="J3" s="7">
        <f>$B3 * IFERROR(VLOOKUP("LULUCF|NOx|Infant mortality", US_national_yearly!$D:$AM, 18, FALSE) / VLOOKUP("LULUCF|NOx|Infant mortality", US_national_yearly!$D:$AM, 10, FALSE), 1)</f>
        <v>9.9263843292617939E-7</v>
      </c>
      <c r="K3" s="7">
        <f>$B3 * IFERROR(VLOOKUP("LULUCF|NOx|Infant mortality", US_national_yearly!$D:$AM, 19, FALSE) / VLOOKUP("LULUCF|NOx|Infant mortality", US_national_yearly!$D:$AM, 10, FALSE), 1)</f>
        <v>9.8551884688815904E-7</v>
      </c>
      <c r="L3" s="7">
        <f>$B3 * IFERROR(VLOOKUP("LULUCF|NOx|Infant mortality", US_national_yearly!$D:$AM, 20, FALSE) / VLOOKUP("LULUCF|NOx|Infant mortality", US_national_yearly!$D:$AM, 10, FALSE), 1)</f>
        <v>9.7839926085013848E-7</v>
      </c>
      <c r="M3" s="7">
        <f>$B3 * IFERROR(VLOOKUP("LULUCF|NOx|Infant mortality", US_national_yearly!$D:$AM, 21, FALSE) / VLOOKUP("LULUCF|NOx|Infant mortality", US_national_yearly!$D:$AM, 10, FALSE), 1)</f>
        <v>9.712796748121177E-7</v>
      </c>
      <c r="N3" s="7">
        <f>$B3 * IFERROR(VLOOKUP("LULUCF|NOx|Infant mortality", US_national_yearly!$D:$AM, 22, FALSE) / VLOOKUP("LULUCF|NOx|Infant mortality", US_national_yearly!$D:$AM, 10, FALSE), 1)</f>
        <v>9.6655399128766156E-7</v>
      </c>
      <c r="O3" s="7">
        <f>$B3 * IFERROR(VLOOKUP("LULUCF|NOx|Infant mortality", US_national_yearly!$D:$AM, 23, FALSE) / VLOOKUP("LULUCF|NOx|Infant mortality", US_national_yearly!$D:$AM, 10, FALSE), 1)</f>
        <v>9.618283077632052E-7</v>
      </c>
      <c r="P3" s="7">
        <f>$B3 * IFERROR(VLOOKUP("LULUCF|NOx|Infant mortality", US_national_yearly!$D:$AM, 24, FALSE) / VLOOKUP("LULUCF|NOx|Infant mortality", US_national_yearly!$D:$AM, 10, FALSE), 1)</f>
        <v>9.5710262423874884E-7</v>
      </c>
      <c r="Q3" s="7">
        <f>$B3 * IFERROR(VLOOKUP("LULUCF|NOx|Infant mortality", US_national_yearly!$D:$AM, 25, FALSE) / VLOOKUP("LULUCF|NOx|Infant mortality", US_national_yearly!$D:$AM, 10, FALSE), 1)</f>
        <v>9.5237694071429259E-7</v>
      </c>
      <c r="R3" s="7">
        <f>$B3 * IFERROR(VLOOKUP("LULUCF|NOx|Infant mortality", US_national_yearly!$D:$AM, 26, FALSE) / VLOOKUP("LULUCF|NOx|Infant mortality", US_national_yearly!$D:$AM, 10, FALSE), 1)</f>
        <v>9.4765125718983634E-7</v>
      </c>
      <c r="S3" s="7">
        <f>$B3 * IFERROR(VLOOKUP("LULUCF|NOx|Infant mortality", US_national_yearly!$D:$AM, 27, FALSE) / VLOOKUP("LULUCF|NOx|Infant mortality", US_national_yearly!$D:$AM, 10, FALSE), 1)</f>
        <v>9.419702340971665E-7</v>
      </c>
      <c r="T3" s="7">
        <f>$B3 * IFERROR(VLOOKUP("LULUCF|NOx|Infant mortality", US_national_yearly!$D:$AM, 28, FALSE) / VLOOKUP("LULUCF|NOx|Infant mortality", US_national_yearly!$D:$AM, 10, FALSE), 1)</f>
        <v>9.3628921100449676E-7</v>
      </c>
      <c r="U3" s="7">
        <f>$B3 * IFERROR(VLOOKUP("LULUCF|NOx|Infant mortality", US_national_yearly!$D:$AM, 29, FALSE) / VLOOKUP("LULUCF|NOx|Infant mortality", US_national_yearly!$D:$AM, 10, FALSE), 1)</f>
        <v>9.3060818791182693E-7</v>
      </c>
      <c r="V3" s="7">
        <f>$B3 * IFERROR(VLOOKUP("LULUCF|NOx|Infant mortality", US_national_yearly!$D:$AM, 30, FALSE) / VLOOKUP("LULUCF|NOx|Infant mortality", US_national_yearly!$D:$AM, 10, FALSE), 1)</f>
        <v>9.2492716481915719E-7</v>
      </c>
      <c r="W3" s="7">
        <f>$B3 * IFERROR(VLOOKUP("LULUCF|NOx|Infant mortality", US_national_yearly!$D:$AM, 31, FALSE) / VLOOKUP("LULUCF|NOx|Infant mortality", US_national_yearly!$D:$AM, 10, FALSE), 1)</f>
        <v>9.1924614172648735E-7</v>
      </c>
      <c r="X3" s="7">
        <f>$B3 * IFERROR(VLOOKUP("LULUCF|NOx|Infant mortality", US_national_yearly!$D:$AM, 32, FALSE) / VLOOKUP("LULUCF|NOx|Infant mortality", US_national_yearly!$D:$AM, 10, FALSE), 1)</f>
        <v>9.1322966354828604E-7</v>
      </c>
      <c r="Y3" s="7">
        <f>$B3 * IFERROR(VLOOKUP("LULUCF|NOx|Infant mortality", US_national_yearly!$D:$AM, 33, FALSE) / VLOOKUP("LULUCF|NOx|Infant mortality", US_national_yearly!$D:$AM, 10, FALSE), 1)</f>
        <v>9.0721318537008452E-7</v>
      </c>
      <c r="Z3" s="7">
        <f>$B3 * IFERROR(VLOOKUP("LULUCF|NOx|Infant mortality", US_national_yearly!$D:$AM, 34, FALSE) / VLOOKUP("LULUCF|NOx|Infant mortality", US_national_yearly!$D:$AM, 10, FALSE), 1)</f>
        <v>9.011967071918831E-7</v>
      </c>
      <c r="AA3" s="7">
        <f>$B3 * IFERROR(VLOOKUP("LULUCF|NOx|Infant mortality", US_national_yearly!$D:$AM, 35, FALSE) / VLOOKUP("LULUCF|NOx|Infant mortality", US_national_yearly!$D:$AM, 10, FALSE), 1)</f>
        <v>8.9518022901368158E-7</v>
      </c>
      <c r="AB3" s="7">
        <f>$B3 * IFERROR(VLOOKUP("LULUCF|NOx|Infant mortality", US_national_yearly!$D:$AM, 36, FALSE) / VLOOKUP("LULUCF|NOx|Infant mortality", US_national_yearly!$D:$AM, 10, FALSE), 1)</f>
        <v>8.8916375083548005E-7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3.6198681287924568E-3</v>
      </c>
      <c r="C6" s="7">
        <f>$B6 * IFERROR(VLOOKUP("LULUCF|NOx|Asthma symptoms cough", US_national_yearly!$D:$AM, 11, FALSE) / VLOOKUP("LULUCF|NOx|Asthma symptoms cough", US_national_yearly!$D:$AM, 10, FALSE), 1)</f>
        <v>3.6693576443631686E-3</v>
      </c>
      <c r="D6" s="7">
        <f>$B6 * IFERROR(VLOOKUP("LULUCF|NOx|Asthma symptoms cough", US_national_yearly!$D:$AM, 12, FALSE) / VLOOKUP("LULUCF|NOx|Asthma symptoms cough", US_national_yearly!$D:$AM, 10, FALSE), 1)</f>
        <v>3.7188471599338799E-3</v>
      </c>
      <c r="E6" s="7">
        <f>$B6 * IFERROR(VLOOKUP("LULUCF|NOx|Asthma symptoms cough", US_national_yearly!$D:$AM, 13, FALSE) / VLOOKUP("LULUCF|NOx|Asthma symptoms cough", US_national_yearly!$D:$AM, 10, FALSE), 1)</f>
        <v>3.7683366755045917E-3</v>
      </c>
      <c r="F6" s="7">
        <f>$B6 * IFERROR(VLOOKUP("LULUCF|NOx|Asthma symptoms cough", US_national_yearly!$D:$AM, 14, FALSE) / VLOOKUP("LULUCF|NOx|Asthma symptoms cough", US_national_yearly!$D:$AM, 10, FALSE), 1)</f>
        <v>3.8178261910753034E-3</v>
      </c>
      <c r="G6" s="7">
        <f>$B6 * IFERROR(VLOOKUP("LULUCF|NOx|Asthma symptoms cough", US_national_yearly!$D:$AM, 15, FALSE) / VLOOKUP("LULUCF|NOx|Asthma symptoms cough", US_national_yearly!$D:$AM, 10, FALSE), 1)</f>
        <v>3.8573366535659369E-3</v>
      </c>
      <c r="H6" s="7">
        <f>$B6 * IFERROR(VLOOKUP("LULUCF|NOx|Asthma symptoms cough", US_national_yearly!$D:$AM, 16, FALSE) / VLOOKUP("LULUCF|NOx|Asthma symptoms cough", US_national_yearly!$D:$AM, 10, FALSE), 1)</f>
        <v>3.8968471160565712E-3</v>
      </c>
      <c r="I6" s="7">
        <f>$B6 * IFERROR(VLOOKUP("LULUCF|NOx|Asthma symptoms cough", US_national_yearly!$D:$AM, 17, FALSE) / VLOOKUP("LULUCF|NOx|Asthma symptoms cough", US_national_yearly!$D:$AM, 10, FALSE), 1)</f>
        <v>3.9104460524141014E-3</v>
      </c>
      <c r="J6" s="7">
        <f>$B6 * IFERROR(VLOOKUP("LULUCF|NOx|Asthma symptoms cough", US_national_yearly!$D:$AM, 18, FALSE) / VLOOKUP("LULUCF|NOx|Asthma symptoms cough", US_national_yearly!$D:$AM, 10, FALSE), 1)</f>
        <v>3.9240449887716321E-3</v>
      </c>
      <c r="K6" s="7">
        <f>$B6 * IFERROR(VLOOKUP("LULUCF|NOx|Asthma symptoms cough", US_national_yearly!$D:$AM, 19, FALSE) / VLOOKUP("LULUCF|NOx|Asthma symptoms cough", US_national_yearly!$D:$AM, 10, FALSE), 1)</f>
        <v>3.9376439251291619E-3</v>
      </c>
      <c r="L6" s="7">
        <f>$B6 * IFERROR(VLOOKUP("LULUCF|NOx|Asthma symptoms cough", US_national_yearly!$D:$AM, 20, FALSE) / VLOOKUP("LULUCF|NOx|Asthma symptoms cough", US_national_yearly!$D:$AM, 10, FALSE), 1)</f>
        <v>3.9512428614866925E-3</v>
      </c>
      <c r="M6" s="7">
        <f>$B6 * IFERROR(VLOOKUP("LULUCF|NOx|Asthma symptoms cough", US_national_yearly!$D:$AM, 21, FALSE) / VLOOKUP("LULUCF|NOx|Asthma symptoms cough", US_national_yearly!$D:$AM, 10, FALSE), 1)</f>
        <v>3.9648417978442232E-3</v>
      </c>
      <c r="N6" s="7">
        <f>$B6 * IFERROR(VLOOKUP("LULUCF|NOx|Asthma symptoms cough", US_national_yearly!$D:$AM, 22, FALSE) / VLOOKUP("LULUCF|NOx|Asthma symptoms cough", US_national_yearly!$D:$AM, 10, FALSE), 1)</f>
        <v>3.9806107772264402E-3</v>
      </c>
      <c r="O6" s="7">
        <f>$B6 * IFERROR(VLOOKUP("LULUCF|NOx|Asthma symptoms cough", US_national_yearly!$D:$AM, 23, FALSE) / VLOOKUP("LULUCF|NOx|Asthma symptoms cough", US_national_yearly!$D:$AM, 10, FALSE), 1)</f>
        <v>3.9963797566086564E-3</v>
      </c>
      <c r="P6" s="7">
        <f>$B6 * IFERROR(VLOOKUP("LULUCF|NOx|Asthma symptoms cough", US_national_yearly!$D:$AM, 24, FALSE) / VLOOKUP("LULUCF|NOx|Asthma symptoms cough", US_national_yearly!$D:$AM, 10, FALSE), 1)</f>
        <v>4.0121487359908734E-3</v>
      </c>
      <c r="Q6" s="7">
        <f>$B6 * IFERROR(VLOOKUP("LULUCF|NOx|Asthma symptoms cough", US_national_yearly!$D:$AM, 25, FALSE) / VLOOKUP("LULUCF|NOx|Asthma symptoms cough", US_national_yearly!$D:$AM, 10, FALSE), 1)</f>
        <v>4.0279177153730904E-3</v>
      </c>
      <c r="R6" s="7">
        <f>$B6 * IFERROR(VLOOKUP("LULUCF|NOx|Asthma symptoms cough", US_national_yearly!$D:$AM, 26, FALSE) / VLOOKUP("LULUCF|NOx|Asthma symptoms cough", US_national_yearly!$D:$AM, 10, FALSE), 1)</f>
        <v>4.0436866947553074E-3</v>
      </c>
      <c r="S6" s="7">
        <f>$B6 * IFERROR(VLOOKUP("LULUCF|NOx|Asthma symptoms cough", US_national_yearly!$D:$AM, 27, FALSE) / VLOOKUP("LULUCF|NOx|Asthma symptoms cough", US_national_yearly!$D:$AM, 10, FALSE), 1)</f>
        <v>4.0642860042112003E-3</v>
      </c>
      <c r="T6" s="7">
        <f>$B6 * IFERROR(VLOOKUP("LULUCF|NOx|Asthma symptoms cough", US_national_yearly!$D:$AM, 28, FALSE) / VLOOKUP("LULUCF|NOx|Asthma symptoms cough", US_national_yearly!$D:$AM, 10, FALSE), 1)</f>
        <v>4.0848853136670922E-3</v>
      </c>
      <c r="U6" s="7">
        <f>$B6 * IFERROR(VLOOKUP("LULUCF|NOx|Asthma symptoms cough", US_national_yearly!$D:$AM, 29, FALSE) / VLOOKUP("LULUCF|NOx|Asthma symptoms cough", US_national_yearly!$D:$AM, 10, FALSE), 1)</f>
        <v>4.1054846231229833E-3</v>
      </c>
      <c r="V6" s="7">
        <f>$B6 * IFERROR(VLOOKUP("LULUCF|NOx|Asthma symptoms cough", US_national_yearly!$D:$AM, 30, FALSE) / VLOOKUP("LULUCF|NOx|Asthma symptoms cough", US_national_yearly!$D:$AM, 10, FALSE), 1)</f>
        <v>4.1260839325788761E-3</v>
      </c>
      <c r="W6" s="7">
        <f>$B6 * IFERROR(VLOOKUP("LULUCF|NOx|Asthma symptoms cough", US_national_yearly!$D:$AM, 31, FALSE) / VLOOKUP("LULUCF|NOx|Asthma symptoms cough", US_national_yearly!$D:$AM, 10, FALSE), 1)</f>
        <v>4.1466832420347681E-3</v>
      </c>
      <c r="X6" s="7">
        <f>$B6 * IFERROR(VLOOKUP("LULUCF|NOx|Asthma symptoms cough", US_national_yearly!$D:$AM, 32, FALSE) / VLOOKUP("LULUCF|NOx|Asthma symptoms cough", US_national_yearly!$D:$AM, 10, FALSE), 1)</f>
        <v>4.165822960342353E-3</v>
      </c>
      <c r="Y6" s="7">
        <f>$B6 * IFERROR(VLOOKUP("LULUCF|NOx|Asthma symptoms cough", US_national_yearly!$D:$AM, 33, FALSE) / VLOOKUP("LULUCF|NOx|Asthma symptoms cough", US_national_yearly!$D:$AM, 10, FALSE), 1)</f>
        <v>4.1849626786499379E-3</v>
      </c>
      <c r="Z6" s="7">
        <f>$B6 * IFERROR(VLOOKUP("LULUCF|NOx|Asthma symptoms cough", US_national_yearly!$D:$AM, 34, FALSE) / VLOOKUP("LULUCF|NOx|Asthma symptoms cough", US_national_yearly!$D:$AM, 10, FALSE), 1)</f>
        <v>4.2041023969575228E-3</v>
      </c>
      <c r="AA6" s="7">
        <f>$B6 * IFERROR(VLOOKUP("LULUCF|NOx|Asthma symptoms cough", US_national_yearly!$D:$AM, 35, FALSE) / VLOOKUP("LULUCF|NOx|Asthma symptoms cough", US_national_yearly!$D:$AM, 10, FALSE), 1)</f>
        <v>4.2232421152651085E-3</v>
      </c>
      <c r="AB6" s="7">
        <f>$B6 * IFERROR(VLOOKUP("LULUCF|NOx|Asthma symptoms cough", US_national_yearly!$D:$AM, 36, FALSE) / VLOOKUP("LULUCF|NOx|Asthma symptoms cough", US_national_yearly!$D:$AM, 10, FALSE), 1)</f>
        <v>4.2423818335726943E-3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4.874668686513435E-3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4.9413133771737594E-3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5.007958067834082E-3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5.0746027584944054E-3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5.1412474491547297E-3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5.1944539216344345E-3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5.2476603941141392E-3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5.2659733012239774E-3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5.2842862083338164E-3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5.3025991154436545E-3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5.3209120225534935E-3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5.3392249296633316E-3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5.3604601092412645E-3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5.3816952888191974E-3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5.4029304683971295E-3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5.4241656479750624E-3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5.4454008275529953E-3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5.4731407355140928E-3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5.5008806434751912E-3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5.5286205514362887E-3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5.5563604593973854E-3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5.5841003673584829E-3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5.6098747276612272E-3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5.6356490879639724E-3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5.6614234482667185E-3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5.6871978085694637E-3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5.7129721688722081E-3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7.4476997429946618E-3</v>
      </c>
      <c r="C8" s="7">
        <f>$B8 * IFERROR(VLOOKUP("LULUCF|NOx|Asthma symptoms wheeze", US_national_yearly!$D:$AM, 11, FALSE) / VLOOKUP("LULUCF|NOx|Asthma symptoms wheeze", US_national_yearly!$D:$AM, 10, FALSE), 1)</f>
        <v>7.5495219751288839E-3</v>
      </c>
      <c r="D8" s="7">
        <f>$B8 * IFERROR(VLOOKUP("LULUCF|NOx|Asthma symptoms wheeze", US_national_yearly!$D:$AM, 12, FALSE) / VLOOKUP("LULUCF|NOx|Asthma symptoms wheeze", US_national_yearly!$D:$AM, 10, FALSE), 1)</f>
        <v>7.6513442072631086E-3</v>
      </c>
      <c r="E8" s="7">
        <f>$B8 * IFERROR(VLOOKUP("LULUCF|NOx|Asthma symptoms wheeze", US_national_yearly!$D:$AM, 13, FALSE) / VLOOKUP("LULUCF|NOx|Asthma symptoms wheeze", US_national_yearly!$D:$AM, 10, FALSE), 1)</f>
        <v>7.7531664393973307E-3</v>
      </c>
      <c r="F8" s="7">
        <f>$B8 * IFERROR(VLOOKUP("LULUCF|NOx|Asthma symptoms wheeze", US_national_yearly!$D:$AM, 14, FALSE) / VLOOKUP("LULUCF|NOx|Asthma symptoms wheeze", US_national_yearly!$D:$AM, 10, FALSE), 1)</f>
        <v>7.8549886715315528E-3</v>
      </c>
      <c r="G8" s="7">
        <f>$B8 * IFERROR(VLOOKUP("LULUCF|NOx|Asthma symptoms wheeze", US_national_yearly!$D:$AM, 15, FALSE) / VLOOKUP("LULUCF|NOx|Asthma symptoms wheeze", US_national_yearly!$D:$AM, 10, FALSE), 1)</f>
        <v>7.9362794952556326E-3</v>
      </c>
      <c r="H8" s="7">
        <f>$B8 * IFERROR(VLOOKUP("LULUCF|NOx|Asthma symptoms wheeze", US_national_yearly!$D:$AM, 16, FALSE) / VLOOKUP("LULUCF|NOx|Asthma symptoms wheeze", US_national_yearly!$D:$AM, 10, FALSE), 1)</f>
        <v>8.0175703189797141E-3</v>
      </c>
      <c r="I8" s="7">
        <f>$B8 * IFERROR(VLOOKUP("LULUCF|NOx|Asthma symptoms wheeze", US_national_yearly!$D:$AM, 17, FALSE) / VLOOKUP("LULUCF|NOx|Asthma symptoms wheeze", US_national_yearly!$D:$AM, 10, FALSE), 1)</f>
        <v>8.0455494584954768E-3</v>
      </c>
      <c r="J8" s="7">
        <f>$B8 * IFERROR(VLOOKUP("LULUCF|NOx|Asthma symptoms wheeze", US_national_yearly!$D:$AM, 18, FALSE) / VLOOKUP("LULUCF|NOx|Asthma symptoms wheeze", US_national_yearly!$D:$AM, 10, FALSE), 1)</f>
        <v>8.0735285980112429E-3</v>
      </c>
      <c r="K8" s="7">
        <f>$B8 * IFERROR(VLOOKUP("LULUCF|NOx|Asthma symptoms wheeze", US_national_yearly!$D:$AM, 19, FALSE) / VLOOKUP("LULUCF|NOx|Asthma symptoms wheeze", US_national_yearly!$D:$AM, 10, FALSE), 1)</f>
        <v>8.1015077375270056E-3</v>
      </c>
      <c r="L8" s="7">
        <f>$B8 * IFERROR(VLOOKUP("LULUCF|NOx|Asthma symptoms wheeze", US_national_yearly!$D:$AM, 20, FALSE) / VLOOKUP("LULUCF|NOx|Asthma symptoms wheeze", US_national_yearly!$D:$AM, 10, FALSE), 1)</f>
        <v>8.12948687704277E-3</v>
      </c>
      <c r="M8" s="7">
        <f>$B8 * IFERROR(VLOOKUP("LULUCF|NOx|Asthma symptoms wheeze", US_national_yearly!$D:$AM, 21, FALSE) / VLOOKUP("LULUCF|NOx|Asthma symptoms wheeze", US_national_yearly!$D:$AM, 10, FALSE), 1)</f>
        <v>8.1574660165585344E-3</v>
      </c>
      <c r="N8" s="7">
        <f>$B8 * IFERROR(VLOOKUP("LULUCF|NOx|Asthma symptoms wheeze", US_national_yearly!$D:$AM, 22, FALSE) / VLOOKUP("LULUCF|NOx|Asthma symptoms wheeze", US_national_yearly!$D:$AM, 10, FALSE), 1)</f>
        <v>8.189909912370133E-3</v>
      </c>
      <c r="O8" s="7">
        <f>$B8 * IFERROR(VLOOKUP("LULUCF|NOx|Asthma symptoms wheeze", US_national_yearly!$D:$AM, 23, FALSE) / VLOOKUP("LULUCF|NOx|Asthma symptoms wheeze", US_national_yearly!$D:$AM, 10, FALSE), 1)</f>
        <v>8.2223538081817333E-3</v>
      </c>
      <c r="P8" s="7">
        <f>$B8 * IFERROR(VLOOKUP("LULUCF|NOx|Asthma symptoms wheeze", US_national_yearly!$D:$AM, 24, FALSE) / VLOOKUP("LULUCF|NOx|Asthma symptoms wheeze", US_national_yearly!$D:$AM, 10, FALSE), 1)</f>
        <v>8.2547977039933336E-3</v>
      </c>
      <c r="Q8" s="7">
        <f>$B8 * IFERROR(VLOOKUP("LULUCF|NOx|Asthma symptoms wheeze", US_national_yearly!$D:$AM, 25, FALSE) / VLOOKUP("LULUCF|NOx|Asthma symptoms wheeze", US_national_yearly!$D:$AM, 10, FALSE), 1)</f>
        <v>8.2872415998049339E-3</v>
      </c>
      <c r="R8" s="7">
        <f>$B8 * IFERROR(VLOOKUP("LULUCF|NOx|Asthma symptoms wheeze", US_national_yearly!$D:$AM, 26, FALSE) / VLOOKUP("LULUCF|NOx|Asthma symptoms wheeze", US_national_yearly!$D:$AM, 10, FALSE), 1)</f>
        <v>8.3196854956165325E-3</v>
      </c>
      <c r="S8" s="7">
        <f>$B8 * IFERROR(VLOOKUP("LULUCF|NOx|Asthma symptoms wheeze", US_national_yearly!$D:$AM, 27, FALSE) / VLOOKUP("LULUCF|NOx|Asthma symptoms wheeze", US_national_yearly!$D:$AM, 10, FALSE), 1)</f>
        <v>8.3620675568256229E-3</v>
      </c>
      <c r="T8" s="7">
        <f>$B8 * IFERROR(VLOOKUP("LULUCF|NOx|Asthma symptoms wheeze", US_national_yearly!$D:$AM, 28, FALSE) / VLOOKUP("LULUCF|NOx|Asthma symptoms wheeze", US_national_yearly!$D:$AM, 10, FALSE), 1)</f>
        <v>8.4044496180347115E-3</v>
      </c>
      <c r="U8" s="7">
        <f>$B8 * IFERROR(VLOOKUP("LULUCF|NOx|Asthma symptoms wheeze", US_national_yearly!$D:$AM, 29, FALSE) / VLOOKUP("LULUCF|NOx|Asthma symptoms wheeze", US_national_yearly!$D:$AM, 10, FALSE), 1)</f>
        <v>8.4468316792438002E-3</v>
      </c>
      <c r="V8" s="7">
        <f>$B8 * IFERROR(VLOOKUP("LULUCF|NOx|Asthma symptoms wheeze", US_national_yearly!$D:$AM, 30, FALSE) / VLOOKUP("LULUCF|NOx|Asthma symptoms wheeze", US_national_yearly!$D:$AM, 10, FALSE), 1)</f>
        <v>8.4892137404528906E-3</v>
      </c>
      <c r="W8" s="7">
        <f>$B8 * IFERROR(VLOOKUP("LULUCF|NOx|Asthma symptoms wheeze", US_national_yearly!$D:$AM, 31, FALSE) / VLOOKUP("LULUCF|NOx|Asthma symptoms wheeze", US_national_yearly!$D:$AM, 10, FALSE), 1)</f>
        <v>8.5315958016619793E-3</v>
      </c>
      <c r="X8" s="7">
        <f>$B8 * IFERROR(VLOOKUP("LULUCF|NOx|Asthma symptoms wheeze", US_national_yearly!$D:$AM, 32, FALSE) / VLOOKUP("LULUCF|NOx|Asthma symptoms wheeze", US_national_yearly!$D:$AM, 10, FALSE), 1)</f>
        <v>8.5709748262015207E-3</v>
      </c>
      <c r="Y8" s="7">
        <f>$B8 * IFERROR(VLOOKUP("LULUCF|NOx|Asthma symptoms wheeze", US_national_yearly!$D:$AM, 33, FALSE) / VLOOKUP("LULUCF|NOx|Asthma symptoms wheeze", US_national_yearly!$D:$AM, 10, FALSE), 1)</f>
        <v>8.6103538507410603E-3</v>
      </c>
      <c r="Z8" s="7">
        <f>$B8 * IFERROR(VLOOKUP("LULUCF|NOx|Asthma symptoms wheeze", US_national_yearly!$D:$AM, 34, FALSE) / VLOOKUP("LULUCF|NOx|Asthma symptoms wheeze", US_national_yearly!$D:$AM, 10, FALSE), 1)</f>
        <v>8.6497328752806035E-3</v>
      </c>
      <c r="AA8" s="7">
        <f>$B8 * IFERROR(VLOOKUP("LULUCF|NOx|Asthma symptoms wheeze", US_national_yearly!$D:$AM, 35, FALSE) / VLOOKUP("LULUCF|NOx|Asthma symptoms wheeze", US_national_yearly!$D:$AM, 10, FALSE), 1)</f>
        <v>8.6891118998201431E-3</v>
      </c>
      <c r="AB8" s="7">
        <f>$B8 * IFERROR(VLOOKUP("LULUCF|NOx|Asthma symptoms wheeze", US_national_yearly!$D:$AM, 36, FALSE) / VLOOKUP("LULUCF|NOx|Asthma symptoms wheeze", US_national_yearly!$D:$AM, 10, FALSE), 1)</f>
        <v>8.7284909243596845E-3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1.1200307861426815E-4</v>
      </c>
      <c r="C12" s="7">
        <f>$B12 * IFERROR(VLOOKUP("LULUCF|NOx|Respiratory hospital admissions", US_national_yearly!$D:$AM, 11, FALSE) / VLOOKUP("LULUCF|NOx|Respiratory hospital admissions", US_national_yearly!$D:$AM, 10, FALSE), 1)</f>
        <v>1.1479695785595916E-4</v>
      </c>
      <c r="D12" s="7">
        <f>$B12 * IFERROR(VLOOKUP("LULUCF|NOx|Respiratory hospital admissions", US_national_yearly!$D:$AM, 12, FALSE) / VLOOKUP("LULUCF|NOx|Respiratory hospital admissions", US_national_yearly!$D:$AM, 10, FALSE), 1)</f>
        <v>1.1759083709765021E-4</v>
      </c>
      <c r="E12" s="7">
        <f>$B12 * IFERROR(VLOOKUP("LULUCF|NOx|Respiratory hospital admissions", US_national_yearly!$D:$AM, 13, FALSE) / VLOOKUP("LULUCF|NOx|Respiratory hospital admissions", US_national_yearly!$D:$AM, 10, FALSE), 1)</f>
        <v>1.2038471633934124E-4</v>
      </c>
      <c r="F12" s="7">
        <f>$B12 * IFERROR(VLOOKUP("LULUCF|NOx|Respiratory hospital admissions", US_national_yearly!$D:$AM, 14, FALSE) / VLOOKUP("LULUCF|NOx|Respiratory hospital admissions", US_national_yearly!$D:$AM, 10, FALSE), 1)</f>
        <v>1.2317859558103229E-4</v>
      </c>
      <c r="G12" s="7">
        <f>$B12 * IFERROR(VLOOKUP("LULUCF|NOx|Respiratory hospital admissions", US_national_yearly!$D:$AM, 15, FALSE) / VLOOKUP("LULUCF|NOx|Respiratory hospital admissions", US_national_yearly!$D:$AM, 10, FALSE), 1)</f>
        <v>1.2584963922841896E-4</v>
      </c>
      <c r="H12" s="7">
        <f>$B12 * IFERROR(VLOOKUP("LULUCF|NOx|Respiratory hospital admissions", US_national_yearly!$D:$AM, 16, FALSE) / VLOOKUP("LULUCF|NOx|Respiratory hospital admissions", US_national_yearly!$D:$AM, 10, FALSE), 1)</f>
        <v>1.2852068287580562E-4</v>
      </c>
      <c r="I12" s="7">
        <f>$B12 * IFERROR(VLOOKUP("LULUCF|NOx|Respiratory hospital admissions", US_national_yearly!$D:$AM, 17, FALSE) / VLOOKUP("LULUCF|NOx|Respiratory hospital admissions", US_national_yearly!$D:$AM, 10, FALSE), 1)</f>
        <v>1.3078845384353725E-4</v>
      </c>
      <c r="J12" s="7">
        <f>$B12 * IFERROR(VLOOKUP("LULUCF|NOx|Respiratory hospital admissions", US_national_yearly!$D:$AM, 18, FALSE) / VLOOKUP("LULUCF|NOx|Respiratory hospital admissions", US_national_yearly!$D:$AM, 10, FALSE), 1)</f>
        <v>1.3305622481126885E-4</v>
      </c>
      <c r="K12" s="7">
        <f>$B12 * IFERROR(VLOOKUP("LULUCF|NOx|Respiratory hospital admissions", US_national_yearly!$D:$AM, 19, FALSE) / VLOOKUP("LULUCF|NOx|Respiratory hospital admissions", US_national_yearly!$D:$AM, 10, FALSE), 1)</f>
        <v>1.3532399577900045E-4</v>
      </c>
      <c r="L12" s="7">
        <f>$B12 * IFERROR(VLOOKUP("LULUCF|NOx|Respiratory hospital admissions", US_national_yearly!$D:$AM, 20, FALSE) / VLOOKUP("LULUCF|NOx|Respiratory hospital admissions", US_national_yearly!$D:$AM, 10, FALSE), 1)</f>
        <v>1.3759176674673208E-4</v>
      </c>
      <c r="M12" s="7">
        <f>$B12 * IFERROR(VLOOKUP("LULUCF|NOx|Respiratory hospital admissions", US_national_yearly!$D:$AM, 21, FALSE) / VLOOKUP("LULUCF|NOx|Respiratory hospital admissions", US_national_yearly!$D:$AM, 10, FALSE), 1)</f>
        <v>1.3985953771446371E-4</v>
      </c>
      <c r="N12" s="7">
        <f>$B12 * IFERROR(VLOOKUP("LULUCF|NOx|Respiratory hospital admissions", US_national_yearly!$D:$AM, 22, FALSE) / VLOOKUP("LULUCF|NOx|Respiratory hospital admissions", US_national_yearly!$D:$AM, 10, FALSE), 1)</f>
        <v>1.4137558343660928E-4</v>
      </c>
      <c r="O12" s="7">
        <f>$B12 * IFERROR(VLOOKUP("LULUCF|NOx|Respiratory hospital admissions", US_national_yearly!$D:$AM, 23, FALSE) / VLOOKUP("LULUCF|NOx|Respiratory hospital admissions", US_national_yearly!$D:$AM, 10, FALSE), 1)</f>
        <v>1.428916291587549E-4</v>
      </c>
      <c r="P12" s="7">
        <f>$B12 * IFERROR(VLOOKUP("LULUCF|NOx|Respiratory hospital admissions", US_national_yearly!$D:$AM, 24, FALSE) / VLOOKUP("LULUCF|NOx|Respiratory hospital admissions", US_national_yearly!$D:$AM, 10, FALSE), 1)</f>
        <v>1.444076748809005E-4</v>
      </c>
      <c r="Q12" s="7">
        <f>$B12 * IFERROR(VLOOKUP("LULUCF|NOx|Respiratory hospital admissions", US_national_yearly!$D:$AM, 25, FALSE) / VLOOKUP("LULUCF|NOx|Respiratory hospital admissions", US_national_yearly!$D:$AM, 10, FALSE), 1)</f>
        <v>1.459237206030461E-4</v>
      </c>
      <c r="R12" s="7">
        <f>$B12 * IFERROR(VLOOKUP("LULUCF|NOx|Respiratory hospital admissions", US_national_yearly!$D:$AM, 26, FALSE) / VLOOKUP("LULUCF|NOx|Respiratory hospital admissions", US_national_yearly!$D:$AM, 10, FALSE), 1)</f>
        <v>1.4743976632519169E-4</v>
      </c>
      <c r="S12" s="7">
        <f>$B12 * IFERROR(VLOOKUP("LULUCF|NOx|Respiratory hospital admissions", US_national_yearly!$D:$AM, 27, FALSE) / VLOOKUP("LULUCF|NOx|Respiratory hospital admissions", US_national_yearly!$D:$AM, 10, FALSE), 1)</f>
        <v>1.4825202254303667E-4</v>
      </c>
      <c r="T12" s="7">
        <f>$B12 * IFERROR(VLOOKUP("LULUCF|NOx|Respiratory hospital admissions", US_national_yearly!$D:$AM, 28, FALSE) / VLOOKUP("LULUCF|NOx|Respiratory hospital admissions", US_national_yearly!$D:$AM, 10, FALSE), 1)</f>
        <v>1.4906427876088167E-4</v>
      </c>
      <c r="U12" s="7">
        <f>$B12 * IFERROR(VLOOKUP("LULUCF|NOx|Respiratory hospital admissions", US_national_yearly!$D:$AM, 29, FALSE) / VLOOKUP("LULUCF|NOx|Respiratory hospital admissions", US_national_yearly!$D:$AM, 10, FALSE), 1)</f>
        <v>1.4987653497872664E-4</v>
      </c>
      <c r="V12" s="7">
        <f>$B12 * IFERROR(VLOOKUP("LULUCF|NOx|Respiratory hospital admissions", US_national_yearly!$D:$AM, 30, FALSE) / VLOOKUP("LULUCF|NOx|Respiratory hospital admissions", US_national_yearly!$D:$AM, 10, FALSE), 1)</f>
        <v>1.5068879119657159E-4</v>
      </c>
      <c r="W12" s="7">
        <f>$B12 * IFERROR(VLOOKUP("LULUCF|NOx|Respiratory hospital admissions", US_national_yearly!$D:$AM, 31, FALSE) / VLOOKUP("LULUCF|NOx|Respiratory hospital admissions", US_national_yearly!$D:$AM, 10, FALSE), 1)</f>
        <v>1.5150104741441659E-4</v>
      </c>
      <c r="X12" s="7">
        <f>$B12 * IFERROR(VLOOKUP("LULUCF|NOx|Respiratory hospital admissions", US_national_yearly!$D:$AM, 32, FALSE) / VLOOKUP("LULUCF|NOx|Respiratory hospital admissions", US_national_yearly!$D:$AM, 10, FALSE), 1)</f>
        <v>1.5205611901384091E-4</v>
      </c>
      <c r="Y12" s="7">
        <f>$B12 * IFERROR(VLOOKUP("LULUCF|NOx|Respiratory hospital admissions", US_national_yearly!$D:$AM, 33, FALSE) / VLOOKUP("LULUCF|NOx|Respiratory hospital admissions", US_national_yearly!$D:$AM, 10, FALSE), 1)</f>
        <v>1.5261119061326525E-4</v>
      </c>
      <c r="Z12" s="7">
        <f>$B12 * IFERROR(VLOOKUP("LULUCF|NOx|Respiratory hospital admissions", US_national_yearly!$D:$AM, 34, FALSE) / VLOOKUP("LULUCF|NOx|Respiratory hospital admissions", US_national_yearly!$D:$AM, 10, FALSE), 1)</f>
        <v>1.5316626221268959E-4</v>
      </c>
      <c r="AA12" s="7">
        <f>$B12 * IFERROR(VLOOKUP("LULUCF|NOx|Respiratory hospital admissions", US_national_yearly!$D:$AM, 35, FALSE) / VLOOKUP("LULUCF|NOx|Respiratory hospital admissions", US_national_yearly!$D:$AM, 10, FALSE), 1)</f>
        <v>1.5372133381211394E-4</v>
      </c>
      <c r="AB12" s="7">
        <f>$B12 * IFERROR(VLOOKUP("LULUCF|NOx|Respiratory hospital admissions", US_national_yearly!$D:$AM, 36, FALSE) / VLOOKUP("LULUCF|NOx|Respiratory hospital admissions", US_national_yearly!$D:$AM, 10, FALSE), 1)</f>
        <v>1.5427640541153825E-4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5.3148809787076519E-4</v>
      </c>
      <c r="C13" s="7">
        <f>$B13 * IFERROR(VLOOKUP("LULUCF|NOx|Non-fatal heart attacks", US_national_yearly!$D:$AM, 11, FALSE) / VLOOKUP("LULUCF|NOx|Non-fatal heart attacks", US_national_yearly!$D:$AM, 10, FALSE), 1)</f>
        <v>5.4668287431799934E-4</v>
      </c>
      <c r="D13" s="7">
        <f>$B13 * IFERROR(VLOOKUP("LULUCF|NOx|Non-fatal heart attacks", US_national_yearly!$D:$AM, 12, FALSE) / VLOOKUP("LULUCF|NOx|Non-fatal heart attacks", US_national_yearly!$D:$AM, 10, FALSE), 1)</f>
        <v>5.618776507652336E-4</v>
      </c>
      <c r="E13" s="7">
        <f>$B13 * IFERROR(VLOOKUP("LULUCF|NOx|Non-fatal heart attacks", US_national_yearly!$D:$AM, 13, FALSE) / VLOOKUP("LULUCF|NOx|Non-fatal heart attacks", US_national_yearly!$D:$AM, 10, FALSE), 1)</f>
        <v>5.7707242721246764E-4</v>
      </c>
      <c r="F13" s="7">
        <f>$B13 * IFERROR(VLOOKUP("LULUCF|NOx|Non-fatal heart attacks", US_national_yearly!$D:$AM, 14, FALSE) / VLOOKUP("LULUCF|NOx|Non-fatal heart attacks", US_national_yearly!$D:$AM, 10, FALSE), 1)</f>
        <v>5.9226720365970179E-4</v>
      </c>
      <c r="G13" s="7">
        <f>$B13 * IFERROR(VLOOKUP("LULUCF|NOx|Non-fatal heart attacks", US_national_yearly!$D:$AM, 15, FALSE) / VLOOKUP("LULUCF|NOx|Non-fatal heart attacks", US_national_yearly!$D:$AM, 10, FALSE), 1)</f>
        <v>6.0646669066962236E-4</v>
      </c>
      <c r="H13" s="7">
        <f>$B13 * IFERROR(VLOOKUP("LULUCF|NOx|Non-fatal heart attacks", US_national_yearly!$D:$AM, 16, FALSE) / VLOOKUP("LULUCF|NOx|Non-fatal heart attacks", US_national_yearly!$D:$AM, 10, FALSE), 1)</f>
        <v>6.2066617767954292E-4</v>
      </c>
      <c r="I13" s="7">
        <f>$B13 * IFERROR(VLOOKUP("LULUCF|NOx|Non-fatal heart attacks", US_national_yearly!$D:$AM, 17, FALSE) / VLOOKUP("LULUCF|NOx|Non-fatal heart attacks", US_national_yearly!$D:$AM, 10, FALSE), 1)</f>
        <v>6.3186085003051878E-4</v>
      </c>
      <c r="J13" s="7">
        <f>$B13 * IFERROR(VLOOKUP("LULUCF|NOx|Non-fatal heart attacks", US_national_yearly!$D:$AM, 18, FALSE) / VLOOKUP("LULUCF|NOx|Non-fatal heart attacks", US_national_yearly!$D:$AM, 10, FALSE), 1)</f>
        <v>6.4305552238149485E-4</v>
      </c>
      <c r="K13" s="7">
        <f>$B13 * IFERROR(VLOOKUP("LULUCF|NOx|Non-fatal heart attacks", US_national_yearly!$D:$AM, 19, FALSE) / VLOOKUP("LULUCF|NOx|Non-fatal heart attacks", US_national_yearly!$D:$AM, 10, FALSE), 1)</f>
        <v>6.5425019473247048E-4</v>
      </c>
      <c r="L13" s="7">
        <f>$B13 * IFERROR(VLOOKUP("LULUCF|NOx|Non-fatal heart attacks", US_national_yearly!$D:$AM, 20, FALSE) / VLOOKUP("LULUCF|NOx|Non-fatal heart attacks", US_national_yearly!$D:$AM, 10, FALSE), 1)</f>
        <v>6.6544486708344688E-4</v>
      </c>
      <c r="M13" s="7">
        <f>$B13 * IFERROR(VLOOKUP("LULUCF|NOx|Non-fatal heart attacks", US_national_yearly!$D:$AM, 21, FALSE) / VLOOKUP("LULUCF|NOx|Non-fatal heart attacks", US_national_yearly!$D:$AM, 10, FALSE), 1)</f>
        <v>6.7663953943442273E-4</v>
      </c>
      <c r="N13" s="7">
        <f>$B13 * IFERROR(VLOOKUP("LULUCF|NOx|Non-fatal heart attacks", US_national_yearly!$D:$AM, 22, FALSE) / VLOOKUP("LULUCF|NOx|Non-fatal heart attacks", US_national_yearly!$D:$AM, 10, FALSE), 1)</f>
        <v>6.8337459381687116E-4</v>
      </c>
      <c r="O13" s="7">
        <f>$B13 * IFERROR(VLOOKUP("LULUCF|NOx|Non-fatal heart attacks", US_national_yearly!$D:$AM, 23, FALSE) / VLOOKUP("LULUCF|NOx|Non-fatal heart attacks", US_national_yearly!$D:$AM, 10, FALSE), 1)</f>
        <v>6.9010964819931958E-4</v>
      </c>
      <c r="P13" s="7">
        <f>$B13 * IFERROR(VLOOKUP("LULUCF|NOx|Non-fatal heart attacks", US_national_yearly!$D:$AM, 24, FALSE) / VLOOKUP("LULUCF|NOx|Non-fatal heart attacks", US_national_yearly!$D:$AM, 10, FALSE), 1)</f>
        <v>6.96844702581768E-4</v>
      </c>
      <c r="Q13" s="7">
        <f>$B13 * IFERROR(VLOOKUP("LULUCF|NOx|Non-fatal heart attacks", US_national_yearly!$D:$AM, 25, FALSE) / VLOOKUP("LULUCF|NOx|Non-fatal heart attacks", US_national_yearly!$D:$AM, 10, FALSE), 1)</f>
        <v>7.0357975696421654E-4</v>
      </c>
      <c r="R13" s="7">
        <f>$B13 * IFERROR(VLOOKUP("LULUCF|NOx|Non-fatal heart attacks", US_national_yearly!$D:$AM, 26, FALSE) / VLOOKUP("LULUCF|NOx|Non-fatal heart attacks", US_national_yearly!$D:$AM, 10, FALSE), 1)</f>
        <v>7.1031481134666496E-4</v>
      </c>
      <c r="S13" s="7">
        <f>$B13 * IFERROR(VLOOKUP("LULUCF|NOx|Non-fatal heart attacks", US_national_yearly!$D:$AM, 27, FALSE) / VLOOKUP("LULUCF|NOx|Non-fatal heart attacks", US_national_yearly!$D:$AM, 10, FALSE), 1)</f>
        <v>7.1336987859668525E-4</v>
      </c>
      <c r="T13" s="7">
        <f>$B13 * IFERROR(VLOOKUP("LULUCF|NOx|Non-fatal heart attacks", US_national_yearly!$D:$AM, 28, FALSE) / VLOOKUP("LULUCF|NOx|Non-fatal heart attacks", US_national_yearly!$D:$AM, 10, FALSE), 1)</f>
        <v>7.1642494584670544E-4</v>
      </c>
      <c r="U13" s="7">
        <f>$B13 * IFERROR(VLOOKUP("LULUCF|NOx|Non-fatal heart attacks", US_national_yearly!$D:$AM, 29, FALSE) / VLOOKUP("LULUCF|NOx|Non-fatal heart attacks", US_national_yearly!$D:$AM, 10, FALSE), 1)</f>
        <v>7.1948001309672573E-4</v>
      </c>
      <c r="V13" s="7">
        <f>$B13 * IFERROR(VLOOKUP("LULUCF|NOx|Non-fatal heart attacks", US_national_yearly!$D:$AM, 30, FALSE) / VLOOKUP("LULUCF|NOx|Non-fatal heart attacks", US_national_yearly!$D:$AM, 10, FALSE), 1)</f>
        <v>7.2253508034674592E-4</v>
      </c>
      <c r="W13" s="7">
        <f>$B13 * IFERROR(VLOOKUP("LULUCF|NOx|Non-fatal heart attacks", US_national_yearly!$D:$AM, 31, FALSE) / VLOOKUP("LULUCF|NOx|Non-fatal heart attacks", US_national_yearly!$D:$AM, 10, FALSE), 1)</f>
        <v>7.2559014759676621E-4</v>
      </c>
      <c r="X13" s="7">
        <f>$B13 * IFERROR(VLOOKUP("LULUCF|NOx|Non-fatal heart attacks", US_national_yearly!$D:$AM, 32, FALSE) / VLOOKUP("LULUCF|NOx|Non-fatal heart attacks", US_national_yearly!$D:$AM, 10, FALSE), 1)</f>
        <v>7.2763170428540133E-4</v>
      </c>
      <c r="Y13" s="7">
        <f>$B13 * IFERROR(VLOOKUP("LULUCF|NOx|Non-fatal heart attacks", US_national_yearly!$D:$AM, 33, FALSE) / VLOOKUP("LULUCF|NOx|Non-fatal heart attacks", US_national_yearly!$D:$AM, 10, FALSE), 1)</f>
        <v>7.2967326097403667E-4</v>
      </c>
      <c r="Z13" s="7">
        <f>$B13 * IFERROR(VLOOKUP("LULUCF|NOx|Non-fatal heart attacks", US_national_yearly!$D:$AM, 34, FALSE) / VLOOKUP("LULUCF|NOx|Non-fatal heart attacks", US_national_yearly!$D:$AM, 10, FALSE), 1)</f>
        <v>7.3171481766267179E-4</v>
      </c>
      <c r="AA13" s="7">
        <f>$B13 * IFERROR(VLOOKUP("LULUCF|NOx|Non-fatal heart attacks", US_national_yearly!$D:$AM, 35, FALSE) / VLOOKUP("LULUCF|NOx|Non-fatal heart attacks", US_national_yearly!$D:$AM, 10, FALSE), 1)</f>
        <v>7.3375637435130691E-4</v>
      </c>
      <c r="AB13" s="7">
        <f>$B13 * IFERROR(VLOOKUP("LULUCF|NOx|Non-fatal heart attacks", US_national_yearly!$D:$AM, 36, FALSE) / VLOOKUP("LULUCF|NOx|Non-fatal heart attacks", US_national_yearly!$D:$AM, 10, FALSE), 1)</f>
        <v>7.3579793103994225E-4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0.50391704277950888</v>
      </c>
      <c r="C14" s="7">
        <f>$B14 * IFERROR(VLOOKUP("LULUCF|NOx|Minor restricted activity days", US_national_yearly!$D:$AM, 11, FALSE) / VLOOKUP("LULUCF|NOx|Minor restricted activity days", US_national_yearly!$D:$AM, 10, FALSE), 1)</f>
        <v>0.50468963217275375</v>
      </c>
      <c r="D14" s="7">
        <f>$B14 * IFERROR(VLOOKUP("LULUCF|NOx|Minor restricted activity days", US_national_yearly!$D:$AM, 12, FALSE) / VLOOKUP("LULUCF|NOx|Minor restricted activity days", US_national_yearly!$D:$AM, 10, FALSE), 1)</f>
        <v>0.50546222156599874</v>
      </c>
      <c r="E14" s="7">
        <f>$B14 * IFERROR(VLOOKUP("LULUCF|NOx|Minor restricted activity days", US_national_yearly!$D:$AM, 13, FALSE) / VLOOKUP("LULUCF|NOx|Minor restricted activity days", US_national_yearly!$D:$AM, 10, FALSE), 1)</f>
        <v>0.50623481095924372</v>
      </c>
      <c r="F14" s="7">
        <f>$B14 * IFERROR(VLOOKUP("LULUCF|NOx|Minor restricted activity days", US_national_yearly!$D:$AM, 14, FALSE) / VLOOKUP("LULUCF|NOx|Minor restricted activity days", US_national_yearly!$D:$AM, 10, FALSE), 1)</f>
        <v>0.50700740035248859</v>
      </c>
      <c r="G14" s="7">
        <f>$B14 * IFERROR(VLOOKUP("LULUCF|NOx|Minor restricted activity days", US_national_yearly!$D:$AM, 15, FALSE) / VLOOKUP("LULUCF|NOx|Minor restricted activity days", US_national_yearly!$D:$AM, 10, FALSE), 1)</f>
        <v>0.5084025129046118</v>
      </c>
      <c r="H14" s="7">
        <f>$B14 * IFERROR(VLOOKUP("LULUCF|NOx|Minor restricted activity days", US_national_yearly!$D:$AM, 16, FALSE) / VLOOKUP("LULUCF|NOx|Minor restricted activity days", US_national_yearly!$D:$AM, 10, FALSE), 1)</f>
        <v>0.50979762545673479</v>
      </c>
      <c r="I14" s="7">
        <f>$B14 * IFERROR(VLOOKUP("LULUCF|NOx|Minor restricted activity days", US_national_yearly!$D:$AM, 17, FALSE) / VLOOKUP("LULUCF|NOx|Minor restricted activity days", US_national_yearly!$D:$AM, 10, FALSE), 1)</f>
        <v>0.51252641044022873</v>
      </c>
      <c r="J14" s="7">
        <f>$B14 * IFERROR(VLOOKUP("LULUCF|NOx|Minor restricted activity days", US_national_yearly!$D:$AM, 18, FALSE) / VLOOKUP("LULUCF|NOx|Minor restricted activity days", US_national_yearly!$D:$AM, 10, FALSE), 1)</f>
        <v>0.51525519542372256</v>
      </c>
      <c r="K14" s="7">
        <f>$B14 * IFERROR(VLOOKUP("LULUCF|NOx|Minor restricted activity days", US_national_yearly!$D:$AM, 19, FALSE) / VLOOKUP("LULUCF|NOx|Minor restricted activity days", US_national_yearly!$D:$AM, 10, FALSE), 1)</f>
        <v>0.51798398040721649</v>
      </c>
      <c r="L14" s="7">
        <f>$B14 * IFERROR(VLOOKUP("LULUCF|NOx|Minor restricted activity days", US_national_yearly!$D:$AM, 20, FALSE) / VLOOKUP("LULUCF|NOx|Minor restricted activity days", US_national_yearly!$D:$AM, 10, FALSE), 1)</f>
        <v>0.52071276539071032</v>
      </c>
      <c r="M14" s="7">
        <f>$B14 * IFERROR(VLOOKUP("LULUCF|NOx|Minor restricted activity days", US_national_yearly!$D:$AM, 21, FALSE) / VLOOKUP("LULUCF|NOx|Minor restricted activity days", US_national_yearly!$D:$AM, 10, FALSE), 1)</f>
        <v>0.52344155037420426</v>
      </c>
      <c r="N14" s="7">
        <f>$B14 * IFERROR(VLOOKUP("LULUCF|NOx|Minor restricted activity days", US_national_yearly!$D:$AM, 22, FALSE) / VLOOKUP("LULUCF|NOx|Minor restricted activity days", US_national_yearly!$D:$AM, 10, FALSE), 1)</f>
        <v>0.52734855173197415</v>
      </c>
      <c r="O14" s="7">
        <f>$B14 * IFERROR(VLOOKUP("LULUCF|NOx|Minor restricted activity days", US_national_yearly!$D:$AM, 23, FALSE) / VLOOKUP("LULUCF|NOx|Minor restricted activity days", US_national_yearly!$D:$AM, 10, FALSE), 1)</f>
        <v>0.53125555308974393</v>
      </c>
      <c r="P14" s="7">
        <f>$B14 * IFERROR(VLOOKUP("LULUCF|NOx|Minor restricted activity days", US_national_yearly!$D:$AM, 24, FALSE) / VLOOKUP("LULUCF|NOx|Minor restricted activity days", US_national_yearly!$D:$AM, 10, FALSE), 1)</f>
        <v>0.53516255444751382</v>
      </c>
      <c r="Q14" s="7">
        <f>$B14 * IFERROR(VLOOKUP("LULUCF|NOx|Minor restricted activity days", US_national_yearly!$D:$AM, 25, FALSE) / VLOOKUP("LULUCF|NOx|Minor restricted activity days", US_national_yearly!$D:$AM, 10, FALSE), 1)</f>
        <v>0.5390695558052836</v>
      </c>
      <c r="R14" s="7">
        <f>$B14 * IFERROR(VLOOKUP("LULUCF|NOx|Minor restricted activity days", US_national_yearly!$D:$AM, 26, FALSE) / VLOOKUP("LULUCF|NOx|Minor restricted activity days", US_national_yearly!$D:$AM, 10, FALSE), 1)</f>
        <v>0.54297655716305337</v>
      </c>
      <c r="S14" s="7">
        <f>$B14 * IFERROR(VLOOKUP("LULUCF|NOx|Minor restricted activity days", US_national_yearly!$D:$AM, 27, FALSE) / VLOOKUP("LULUCF|NOx|Minor restricted activity days", US_national_yearly!$D:$AM, 10, FALSE), 1)</f>
        <v>0.54688273708215007</v>
      </c>
      <c r="T14" s="7">
        <f>$B14 * IFERROR(VLOOKUP("LULUCF|NOx|Minor restricted activity days", US_national_yearly!$D:$AM, 28, FALSE) / VLOOKUP("LULUCF|NOx|Minor restricted activity days", US_national_yearly!$D:$AM, 10, FALSE), 1)</f>
        <v>0.55078891700124666</v>
      </c>
      <c r="U14" s="7">
        <f>$B14 * IFERROR(VLOOKUP("LULUCF|NOx|Minor restricted activity days", US_national_yearly!$D:$AM, 29, FALSE) / VLOOKUP("LULUCF|NOx|Minor restricted activity days", US_national_yearly!$D:$AM, 10, FALSE), 1)</f>
        <v>0.55469509692034336</v>
      </c>
      <c r="V14" s="7">
        <f>$B14 * IFERROR(VLOOKUP("LULUCF|NOx|Minor restricted activity days", US_national_yearly!$D:$AM, 30, FALSE) / VLOOKUP("LULUCF|NOx|Minor restricted activity days", US_national_yearly!$D:$AM, 10, FALSE), 1)</f>
        <v>0.55860127683943994</v>
      </c>
      <c r="W14" s="7">
        <f>$B14 * IFERROR(VLOOKUP("LULUCF|NOx|Minor restricted activity days", US_national_yearly!$D:$AM, 31, FALSE) / VLOOKUP("LULUCF|NOx|Minor restricted activity days", US_national_yearly!$D:$AM, 10, FALSE), 1)</f>
        <v>0.56250745675853653</v>
      </c>
      <c r="X14" s="7">
        <f>$B14 * IFERROR(VLOOKUP("LULUCF|NOx|Minor restricted activity days", US_national_yearly!$D:$AM, 32, FALSE) / VLOOKUP("LULUCF|NOx|Minor restricted activity days", US_national_yearly!$D:$AM, 10, FALSE), 1)</f>
        <v>0.56580998307096708</v>
      </c>
      <c r="Y14" s="7">
        <f>$B14 * IFERROR(VLOOKUP("LULUCF|NOx|Minor restricted activity days", US_national_yearly!$D:$AM, 33, FALSE) / VLOOKUP("LULUCF|NOx|Minor restricted activity days", US_national_yearly!$D:$AM, 10, FALSE), 1)</f>
        <v>0.56911250938339775</v>
      </c>
      <c r="Z14" s="7">
        <f>$B14 * IFERROR(VLOOKUP("LULUCF|NOx|Minor restricted activity days", US_national_yearly!$D:$AM, 34, FALSE) / VLOOKUP("LULUCF|NOx|Minor restricted activity days", US_national_yearly!$D:$AM, 10, FALSE), 1)</f>
        <v>0.5724150356958283</v>
      </c>
      <c r="AA14" s="7">
        <f>$B14 * IFERROR(VLOOKUP("LULUCF|NOx|Minor restricted activity days", US_national_yearly!$D:$AM, 35, FALSE) / VLOOKUP("LULUCF|NOx|Minor restricted activity days", US_national_yearly!$D:$AM, 10, FALSE), 1)</f>
        <v>0.57571756200825885</v>
      </c>
      <c r="AB14" s="7">
        <f>$B14 * IFERROR(VLOOKUP("LULUCF|NOx|Minor restricted activity days", US_national_yearly!$D:$AM, 36, FALSE) / VLOOKUP("LULUCF|NOx|Minor restricted activity days", US_national_yearly!$D:$AM, 10, FALSE), 1)</f>
        <v>0.57902008832068941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8.5794138818876625E-2</v>
      </c>
      <c r="C15" s="7">
        <f>$B15 * IFERROR(VLOOKUP("LULUCF|NOx|Work loss days", US_national_yearly!$D:$AM, 11, FALSE) / VLOOKUP("LULUCF|NOx|Work loss days", US_national_yearly!$D:$AM, 10, FALSE), 1)</f>
        <v>8.598498326524609E-2</v>
      </c>
      <c r="D15" s="7">
        <f>$B15 * IFERROR(VLOOKUP("LULUCF|NOx|Work loss days", US_national_yearly!$D:$AM, 12, FALSE) / VLOOKUP("LULUCF|NOx|Work loss days", US_national_yearly!$D:$AM, 10, FALSE), 1)</f>
        <v>8.6175827711615582E-2</v>
      </c>
      <c r="E15" s="7">
        <f>$B15 * IFERROR(VLOOKUP("LULUCF|NOx|Work loss days", US_national_yearly!$D:$AM, 13, FALSE) / VLOOKUP("LULUCF|NOx|Work loss days", US_national_yearly!$D:$AM, 10, FALSE), 1)</f>
        <v>8.6366672157985061E-2</v>
      </c>
      <c r="F15" s="7">
        <f>$B15 * IFERROR(VLOOKUP("LULUCF|NOx|Work loss days", US_national_yearly!$D:$AM, 14, FALSE) / VLOOKUP("LULUCF|NOx|Work loss days", US_national_yearly!$D:$AM, 10, FALSE), 1)</f>
        <v>8.6557516604354554E-2</v>
      </c>
      <c r="G15" s="7">
        <f>$B15 * IFERROR(VLOOKUP("LULUCF|NOx|Work loss days", US_national_yearly!$D:$AM, 15, FALSE) / VLOOKUP("LULUCF|NOx|Work loss days", US_national_yearly!$D:$AM, 10, FALSE), 1)</f>
        <v>8.6836151124041847E-2</v>
      </c>
      <c r="H15" s="7">
        <f>$B15 * IFERROR(VLOOKUP("LULUCF|NOx|Work loss days", US_national_yearly!$D:$AM, 16, FALSE) / VLOOKUP("LULUCF|NOx|Work loss days", US_national_yearly!$D:$AM, 10, FALSE), 1)</f>
        <v>8.7114785643729167E-2</v>
      </c>
      <c r="I15" s="7">
        <f>$B15 * IFERROR(VLOOKUP("LULUCF|NOx|Work loss days", US_national_yearly!$D:$AM, 17, FALSE) / VLOOKUP("LULUCF|NOx|Work loss days", US_national_yearly!$D:$AM, 10, FALSE), 1)</f>
        <v>8.7566158464685781E-2</v>
      </c>
      <c r="J15" s="7">
        <f>$B15 * IFERROR(VLOOKUP("LULUCF|NOx|Work loss days", US_national_yearly!$D:$AM, 18, FALSE) / VLOOKUP("LULUCF|NOx|Work loss days", US_national_yearly!$D:$AM, 10, FALSE), 1)</f>
        <v>8.8017531285642422E-2</v>
      </c>
      <c r="K15" s="7">
        <f>$B15 * IFERROR(VLOOKUP("LULUCF|NOx|Work loss days", US_national_yearly!$D:$AM, 19, FALSE) / VLOOKUP("LULUCF|NOx|Work loss days", US_national_yearly!$D:$AM, 10, FALSE), 1)</f>
        <v>8.846890410659905E-2</v>
      </c>
      <c r="L15" s="7">
        <f>$B15 * IFERROR(VLOOKUP("LULUCF|NOx|Work loss days", US_national_yearly!$D:$AM, 20, FALSE) / VLOOKUP("LULUCF|NOx|Work loss days", US_national_yearly!$D:$AM, 10, FALSE), 1)</f>
        <v>8.8920276927555664E-2</v>
      </c>
      <c r="M15" s="7">
        <f>$B15 * IFERROR(VLOOKUP("LULUCF|NOx|Work loss days", US_national_yearly!$D:$AM, 21, FALSE) / VLOOKUP("LULUCF|NOx|Work loss days", US_national_yearly!$D:$AM, 10, FALSE), 1)</f>
        <v>8.9371649748512305E-2</v>
      </c>
      <c r="N15" s="7">
        <f>$B15 * IFERROR(VLOOKUP("LULUCF|NOx|Work loss days", US_national_yearly!$D:$AM, 22, FALSE) / VLOOKUP("LULUCF|NOx|Work loss days", US_national_yearly!$D:$AM, 10, FALSE), 1)</f>
        <v>8.9959083777517324E-2</v>
      </c>
      <c r="O15" s="7">
        <f>$B15 * IFERROR(VLOOKUP("LULUCF|NOx|Work loss days", US_national_yearly!$D:$AM, 23, FALSE) / VLOOKUP("LULUCF|NOx|Work loss days", US_national_yearly!$D:$AM, 10, FALSE), 1)</f>
        <v>9.0546517806522356E-2</v>
      </c>
      <c r="P15" s="7">
        <f>$B15 * IFERROR(VLOOKUP("LULUCF|NOx|Work loss days", US_national_yearly!$D:$AM, 24, FALSE) / VLOOKUP("LULUCF|NOx|Work loss days", US_national_yearly!$D:$AM, 10, FALSE), 1)</f>
        <v>9.1133951835527374E-2</v>
      </c>
      <c r="Q15" s="7">
        <f>$B15 * IFERROR(VLOOKUP("LULUCF|NOx|Work loss days", US_national_yearly!$D:$AM, 25, FALSE) / VLOOKUP("LULUCF|NOx|Work loss days", US_national_yearly!$D:$AM, 10, FALSE), 1)</f>
        <v>9.1721385864532379E-2</v>
      </c>
      <c r="R15" s="7">
        <f>$B15 * IFERROR(VLOOKUP("LULUCF|NOx|Work loss days", US_national_yearly!$D:$AM, 26, FALSE) / VLOOKUP("LULUCF|NOx|Work loss days", US_national_yearly!$D:$AM, 10, FALSE), 1)</f>
        <v>9.2308819893537425E-2</v>
      </c>
      <c r="S15" s="7">
        <f>$B15 * IFERROR(VLOOKUP("LULUCF|NOx|Work loss days", US_national_yearly!$D:$AM, 27, FALSE) / VLOOKUP("LULUCF|NOx|Work loss days", US_national_yearly!$D:$AM, 10, FALSE), 1)</f>
        <v>9.2963733725385453E-2</v>
      </c>
      <c r="T15" s="7">
        <f>$B15 * IFERROR(VLOOKUP("LULUCF|NOx|Work loss days", US_national_yearly!$D:$AM, 28, FALSE) / VLOOKUP("LULUCF|NOx|Work loss days", US_national_yearly!$D:$AM, 10, FALSE), 1)</f>
        <v>9.3618647557233481E-2</v>
      </c>
      <c r="U15" s="7">
        <f>$B15 * IFERROR(VLOOKUP("LULUCF|NOx|Work loss days", US_national_yearly!$D:$AM, 29, FALSE) / VLOOKUP("LULUCF|NOx|Work loss days", US_national_yearly!$D:$AM, 10, FALSE), 1)</f>
        <v>9.4273561389081495E-2</v>
      </c>
      <c r="V15" s="7">
        <f>$B15 * IFERROR(VLOOKUP("LULUCF|NOx|Work loss days", US_national_yearly!$D:$AM, 30, FALSE) / VLOOKUP("LULUCF|NOx|Work loss days", US_national_yearly!$D:$AM, 10, FALSE), 1)</f>
        <v>9.4928475220929523E-2</v>
      </c>
      <c r="W15" s="7">
        <f>$B15 * IFERROR(VLOOKUP("LULUCF|NOx|Work loss days", US_national_yearly!$D:$AM, 31, FALSE) / VLOOKUP("LULUCF|NOx|Work loss days", US_national_yearly!$D:$AM, 10, FALSE), 1)</f>
        <v>9.5583389052777551E-2</v>
      </c>
      <c r="X15" s="7">
        <f>$B15 * IFERROR(VLOOKUP("LULUCF|NOx|Work loss days", US_national_yearly!$D:$AM, 32, FALSE) / VLOOKUP("LULUCF|NOx|Work loss days", US_national_yearly!$D:$AM, 10, FALSE), 1)</f>
        <v>9.6151819340950767E-2</v>
      </c>
      <c r="Y15" s="7">
        <f>$B15 * IFERROR(VLOOKUP("LULUCF|NOx|Work loss days", US_national_yearly!$D:$AM, 33, FALSE) / VLOOKUP("LULUCF|NOx|Work loss days", US_national_yearly!$D:$AM, 10, FALSE), 1)</f>
        <v>9.6720249629123983E-2</v>
      </c>
      <c r="Z15" s="7">
        <f>$B15 * IFERROR(VLOOKUP("LULUCF|NOx|Work loss days", US_national_yearly!$D:$AM, 34, FALSE) / VLOOKUP("LULUCF|NOx|Work loss days", US_national_yearly!$D:$AM, 10, FALSE), 1)</f>
        <v>9.7288679917297199E-2</v>
      </c>
      <c r="AA15" s="7">
        <f>$B15 * IFERROR(VLOOKUP("LULUCF|NOx|Work loss days", US_national_yearly!$D:$AM, 35, FALSE) / VLOOKUP("LULUCF|NOx|Work loss days", US_national_yearly!$D:$AM, 10, FALSE), 1)</f>
        <v>9.7857110205470416E-2</v>
      </c>
      <c r="AB15" s="7">
        <f>$B15 * IFERROR(VLOOKUP("LULUCF|NOx|Work loss days", US_national_yearly!$D:$AM, 36, FALSE) / VLOOKUP("LULUCF|NOx|Work loss days", US_national_yearly!$D:$AM, 10, FALSE), 1)</f>
        <v>9.8425540493643632E-2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1.2675566639488241E-4</v>
      </c>
      <c r="C17" s="7">
        <f>$B17 * IFERROR(VLOOKUP("LULUCF|NOx|Cardiovascular hospital admissions", US_national_yearly!$D:$AM, 11, FALSE) / VLOOKUP("LULUCF|NOx|Cardiovascular hospital admissions", US_national_yearly!$D:$AM, 10, FALSE), 1)</f>
        <v>1.3048033496987674E-4</v>
      </c>
      <c r="D17" s="7">
        <f>$B17 * IFERROR(VLOOKUP("LULUCF|NOx|Cardiovascular hospital admissions", US_national_yearly!$D:$AM, 12, FALSE) / VLOOKUP("LULUCF|NOx|Cardiovascular hospital admissions", US_national_yearly!$D:$AM, 10, FALSE), 1)</f>
        <v>1.3420500354487108E-4</v>
      </c>
      <c r="E17" s="7">
        <f>$B17 * IFERROR(VLOOKUP("LULUCF|NOx|Cardiovascular hospital admissions", US_national_yearly!$D:$AM, 13, FALSE) / VLOOKUP("LULUCF|NOx|Cardiovascular hospital admissions", US_national_yearly!$D:$AM, 10, FALSE), 1)</f>
        <v>1.3792967211986539E-4</v>
      </c>
      <c r="F17" s="7">
        <f>$B17 * IFERROR(VLOOKUP("LULUCF|NOx|Cardiovascular hospital admissions", US_national_yearly!$D:$AM, 14, FALSE) / VLOOKUP("LULUCF|NOx|Cardiovascular hospital admissions", US_national_yearly!$D:$AM, 10, FALSE), 1)</f>
        <v>1.4165434069485973E-4</v>
      </c>
      <c r="G17" s="7">
        <f>$B17 * IFERROR(VLOOKUP("LULUCF|NOx|Cardiovascular hospital admissions", US_national_yearly!$D:$AM, 15, FALSE) / VLOOKUP("LULUCF|NOx|Cardiovascular hospital admissions", US_national_yearly!$D:$AM, 10, FALSE), 1)</f>
        <v>1.4519215987553419E-4</v>
      </c>
      <c r="H17" s="7">
        <f>$B17 * IFERROR(VLOOKUP("LULUCF|NOx|Cardiovascular hospital admissions", US_national_yearly!$D:$AM, 16, FALSE) / VLOOKUP("LULUCF|NOx|Cardiovascular hospital admissions", US_national_yearly!$D:$AM, 10, FALSE), 1)</f>
        <v>1.4872997905620867E-4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1.5170501205981099E-4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1.5468004506341332E-4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1.5765507806701561E-4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1.6063011107061794E-4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1.6360514407422029E-4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1.6546553078845421E-4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1.6732591750268815E-4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1.6918630421692204E-4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1.7104669093115599E-4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1.729070776453899E-4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1.7375592101598138E-4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1.7460476438657289E-4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1.7545360775716434E-4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1.7630245112775582E-4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1.771512944983473E-4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1.7762370526315418E-4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1.7809611602796107E-4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1.7856852679276792E-4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1.7904093755757481E-4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1.7951334832238169E-4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1.4629848238185774E-3</v>
      </c>
      <c r="C2" s="7">
        <f>$B2 * IFERROR(VLOOKUP("LULUCF|SO2|Premature mortality", US_national_yearly!$D:$AM, 11, FALSE) / VLOOKUP("LULUCF|SO2|Premature mortality", US_national_yearly!$D:$AM, 10, FALSE), 1)</f>
        <v>1.4815127350431886E-3</v>
      </c>
      <c r="D2" s="7">
        <f>$B2 * IFERROR(VLOOKUP("LULUCF|SO2|Premature mortality", US_national_yearly!$D:$AM, 12, FALSE) / VLOOKUP("LULUCF|SO2|Premature mortality", US_national_yearly!$D:$AM, 10, FALSE), 1)</f>
        <v>1.5000406462678001E-3</v>
      </c>
      <c r="E2" s="7">
        <f>$B2 * IFERROR(VLOOKUP("LULUCF|SO2|Premature mortality", US_national_yearly!$D:$AM, 13, FALSE) / VLOOKUP("LULUCF|SO2|Premature mortality", US_national_yearly!$D:$AM, 10, FALSE), 1)</f>
        <v>1.5185685574924113E-3</v>
      </c>
      <c r="F2" s="7">
        <f>$B2 * IFERROR(VLOOKUP("LULUCF|SO2|Premature mortality", US_national_yearly!$D:$AM, 14, FALSE) / VLOOKUP("LULUCF|SO2|Premature mortality", US_national_yearly!$D:$AM, 10, FALSE), 1)</f>
        <v>1.5370964687170226E-3</v>
      </c>
      <c r="G2" s="7">
        <f>$B2 * IFERROR(VLOOKUP("LULUCF|SO2|Premature mortality", US_national_yearly!$D:$AM, 15, FALSE) / VLOOKUP("LULUCF|SO2|Premature mortality", US_national_yearly!$D:$AM, 10, FALSE), 1)</f>
        <v>1.5727987035987544E-3</v>
      </c>
      <c r="H2" s="7">
        <f>$B2 * IFERROR(VLOOKUP("LULUCF|SO2|Premature mortality", US_national_yearly!$D:$AM, 16, FALSE) / VLOOKUP("LULUCF|SO2|Premature mortality", US_national_yearly!$D:$AM, 10, FALSE), 1)</f>
        <v>1.6085009384804859E-3</v>
      </c>
      <c r="I2" s="7">
        <f>$B2 * IFERROR(VLOOKUP("LULUCF|SO2|Premature mortality", US_national_yearly!$D:$AM, 17, FALSE) / VLOOKUP("LULUCF|SO2|Premature mortality", US_national_yearly!$D:$AM, 10, FALSE), 1)</f>
        <v>1.6320951629097682E-3</v>
      </c>
      <c r="J2" s="7">
        <f>$B2 * IFERROR(VLOOKUP("LULUCF|SO2|Premature mortality", US_national_yearly!$D:$AM, 18, FALSE) / VLOOKUP("LULUCF|SO2|Premature mortality", US_national_yearly!$D:$AM, 10, FALSE), 1)</f>
        <v>1.6556893873390503E-3</v>
      </c>
      <c r="K2" s="7">
        <f>$B2 * IFERROR(VLOOKUP("LULUCF|SO2|Premature mortality", US_national_yearly!$D:$AM, 19, FALSE) / VLOOKUP("LULUCF|SO2|Premature mortality", US_national_yearly!$D:$AM, 10, FALSE), 1)</f>
        <v>1.6792836117683321E-3</v>
      </c>
      <c r="L2" s="7">
        <f>$B2 * IFERROR(VLOOKUP("LULUCF|SO2|Premature mortality", US_national_yearly!$D:$AM, 20, FALSE) / VLOOKUP("LULUCF|SO2|Premature mortality", US_national_yearly!$D:$AM, 10, FALSE), 1)</f>
        <v>1.7028778361976142E-3</v>
      </c>
      <c r="M2" s="7">
        <f>$B2 * IFERROR(VLOOKUP("LULUCF|SO2|Premature mortality", US_national_yearly!$D:$AM, 21, FALSE) / VLOOKUP("LULUCF|SO2|Premature mortality", US_national_yearly!$D:$AM, 10, FALSE), 1)</f>
        <v>1.7264720606268962E-3</v>
      </c>
      <c r="N2" s="7">
        <f>$B2 * IFERROR(VLOOKUP("LULUCF|SO2|Premature mortality", US_national_yearly!$D:$AM, 22, FALSE) / VLOOKUP("LULUCF|SO2|Premature mortality", US_national_yearly!$D:$AM, 10, FALSE), 1)</f>
        <v>1.7449073077808693E-3</v>
      </c>
      <c r="O2" s="7">
        <f>$B2 * IFERROR(VLOOKUP("LULUCF|SO2|Premature mortality", US_national_yearly!$D:$AM, 23, FALSE) / VLOOKUP("LULUCF|SO2|Premature mortality", US_national_yearly!$D:$AM, 10, FALSE), 1)</f>
        <v>1.7633425549348424E-3</v>
      </c>
      <c r="P2" s="7">
        <f>$B2 * IFERROR(VLOOKUP("LULUCF|SO2|Premature mortality", US_national_yearly!$D:$AM, 24, FALSE) / VLOOKUP("LULUCF|SO2|Premature mortality", US_national_yearly!$D:$AM, 10, FALSE), 1)</f>
        <v>1.7817778020888153E-3</v>
      </c>
      <c r="Q2" s="7">
        <f>$B2 * IFERROR(VLOOKUP("LULUCF|SO2|Premature mortality", US_national_yearly!$D:$AM, 25, FALSE) / VLOOKUP("LULUCF|SO2|Premature mortality", US_national_yearly!$D:$AM, 10, FALSE), 1)</f>
        <v>1.8002130492427884E-3</v>
      </c>
      <c r="R2" s="7">
        <f>$B2 * IFERROR(VLOOKUP("LULUCF|SO2|Premature mortality", US_national_yearly!$D:$AM, 26, FALSE) / VLOOKUP("LULUCF|SO2|Premature mortality", US_national_yearly!$D:$AM, 10, FALSE), 1)</f>
        <v>1.8186482963967611E-3</v>
      </c>
      <c r="S2" s="7">
        <f>$B2 * IFERROR(VLOOKUP("LULUCF|SO2|Premature mortality", US_national_yearly!$D:$AM, 27, FALSE) / VLOOKUP("LULUCF|SO2|Premature mortality", US_national_yearly!$D:$AM, 10, FALSE), 1)</f>
        <v>1.8285206167167028E-3</v>
      </c>
      <c r="T2" s="7">
        <f>$B2 * IFERROR(VLOOKUP("LULUCF|SO2|Premature mortality", US_national_yearly!$D:$AM, 28, FALSE) / VLOOKUP("LULUCF|SO2|Premature mortality", US_national_yearly!$D:$AM, 10, FALSE), 1)</f>
        <v>1.8383929370366441E-3</v>
      </c>
      <c r="U2" s="7">
        <f>$B2 * IFERROR(VLOOKUP("LULUCF|SO2|Premature mortality", US_national_yearly!$D:$AM, 29, FALSE) / VLOOKUP("LULUCF|SO2|Premature mortality", US_national_yearly!$D:$AM, 10, FALSE), 1)</f>
        <v>1.8482652573565855E-3</v>
      </c>
      <c r="V2" s="7">
        <f>$B2 * IFERROR(VLOOKUP("LULUCF|SO2|Premature mortality", US_national_yearly!$D:$AM, 30, FALSE) / VLOOKUP("LULUCF|SO2|Premature mortality", US_national_yearly!$D:$AM, 10, FALSE), 1)</f>
        <v>1.8581375776765268E-3</v>
      </c>
      <c r="W2" s="7">
        <f>$B2 * IFERROR(VLOOKUP("LULUCF|SO2|Premature mortality", US_national_yearly!$D:$AM, 31, FALSE) / VLOOKUP("LULUCF|SO2|Premature mortality", US_national_yearly!$D:$AM, 10, FALSE), 1)</f>
        <v>1.8680098979964685E-3</v>
      </c>
      <c r="X2" s="7">
        <f>$B2 * IFERROR(VLOOKUP("LULUCF|SO2|Premature mortality", US_national_yearly!$D:$AM, 32, FALSE) / VLOOKUP("LULUCF|SO2|Premature mortality", US_national_yearly!$D:$AM, 10, FALSE), 1)</f>
        <v>1.8700154900666214E-3</v>
      </c>
      <c r="Y2" s="7">
        <f>$B2 * IFERROR(VLOOKUP("LULUCF|SO2|Premature mortality", US_national_yearly!$D:$AM, 33, FALSE) / VLOOKUP("LULUCF|SO2|Premature mortality", US_national_yearly!$D:$AM, 10, FALSE), 1)</f>
        <v>1.8720210821367748E-3</v>
      </c>
      <c r="Z2" s="7">
        <f>$B2 * IFERROR(VLOOKUP("LULUCF|SO2|Premature mortality", US_national_yearly!$D:$AM, 34, FALSE) / VLOOKUP("LULUCF|SO2|Premature mortality", US_national_yearly!$D:$AM, 10, FALSE), 1)</f>
        <v>1.8740266742069279E-3</v>
      </c>
      <c r="AA2" s="7">
        <f>$B2 * IFERROR(VLOOKUP("LULUCF|SO2|Premature mortality", US_national_yearly!$D:$AM, 35, FALSE) / VLOOKUP("LULUCF|SO2|Premature mortality", US_national_yearly!$D:$AM, 10, FALSE), 1)</f>
        <v>1.8760322662770812E-3</v>
      </c>
      <c r="AB2" s="7">
        <f>$B2 * IFERROR(VLOOKUP("LULUCF|SO2|Premature mortality", US_national_yearly!$D:$AM, 36, FALSE) / VLOOKUP("LULUCF|SO2|Premature mortality", US_national_yearly!$D:$AM, 10, FALSE), 1)</f>
        <v>1.8780378583472342E-3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3.1943062996605444E-6</v>
      </c>
      <c r="C3" s="7">
        <f>$B3 * IFERROR(VLOOKUP("LULUCF|SO2|Infant mortality", US_national_yearly!$D:$AM, 11, FALSE) / VLOOKUP("LULUCF|SO2|Infant mortality", US_national_yearly!$D:$AM, 10, FALSE), 1)</f>
        <v>3.1668666258871959E-6</v>
      </c>
      <c r="D3" s="7">
        <f>$B3 * IFERROR(VLOOKUP("LULUCF|SO2|Infant mortality", US_national_yearly!$D:$AM, 12, FALSE) / VLOOKUP("LULUCF|SO2|Infant mortality", US_national_yearly!$D:$AM, 10, FALSE), 1)</f>
        <v>3.1394269521138479E-6</v>
      </c>
      <c r="E3" s="7">
        <f>$B3 * IFERROR(VLOOKUP("LULUCF|SO2|Infant mortality", US_national_yearly!$D:$AM, 13, FALSE) / VLOOKUP("LULUCF|SO2|Infant mortality", US_national_yearly!$D:$AM, 10, FALSE), 1)</f>
        <v>3.111987278340499E-6</v>
      </c>
      <c r="F3" s="7">
        <f>$B3 * IFERROR(VLOOKUP("LULUCF|SO2|Infant mortality", US_national_yearly!$D:$AM, 14, FALSE) / VLOOKUP("LULUCF|SO2|Infant mortality", US_national_yearly!$D:$AM, 10, FALSE), 1)</f>
        <v>3.0845476045671506E-6</v>
      </c>
      <c r="G3" s="7">
        <f>$B3 * IFERROR(VLOOKUP("LULUCF|SO2|Infant mortality", US_national_yearly!$D:$AM, 15, FALSE) / VLOOKUP("LULUCF|SO2|Infant mortality", US_national_yearly!$D:$AM, 10, FALSE), 1)</f>
        <v>2.0545571389815108E-6</v>
      </c>
      <c r="H3" s="7">
        <f>$B3 * IFERROR(VLOOKUP("LULUCF|SO2|Infant mortality", US_national_yearly!$D:$AM, 16, FALSE) / VLOOKUP("LULUCF|SO2|Infant mortality", US_national_yearly!$D:$AM, 10, FALSE), 1)</f>
        <v>1.0245666733958723E-6</v>
      </c>
      <c r="I3" s="7">
        <f>$B3 * IFERROR(VLOOKUP("LULUCF|SO2|Infant mortality", US_national_yearly!$D:$AM, 17, FALSE) / VLOOKUP("LULUCF|SO2|Infant mortality", US_national_yearly!$D:$AM, 10, FALSE), 1)</f>
        <v>1.0181392572610882E-6</v>
      </c>
      <c r="J3" s="7">
        <f>$B3 * IFERROR(VLOOKUP("LULUCF|SO2|Infant mortality", US_national_yearly!$D:$AM, 18, FALSE) / VLOOKUP("LULUCF|SO2|Infant mortality", US_national_yearly!$D:$AM, 10, FALSE), 1)</f>
        <v>1.0117118411263041E-6</v>
      </c>
      <c r="K3" s="7">
        <f>$B3 * IFERROR(VLOOKUP("LULUCF|SO2|Infant mortality", US_national_yearly!$D:$AM, 19, FALSE) / VLOOKUP("LULUCF|SO2|Infant mortality", US_national_yearly!$D:$AM, 10, FALSE), 1)</f>
        <v>1.0052844249915202E-6</v>
      </c>
      <c r="L3" s="7">
        <f>$B3 * IFERROR(VLOOKUP("LULUCF|SO2|Infant mortality", US_national_yearly!$D:$AM, 20, FALSE) / VLOOKUP("LULUCF|SO2|Infant mortality", US_national_yearly!$D:$AM, 10, FALSE), 1)</f>
        <v>9.9885700885673633E-7</v>
      </c>
      <c r="M3" s="7">
        <f>$B3 * IFERROR(VLOOKUP("LULUCF|SO2|Infant mortality", US_national_yearly!$D:$AM, 21, FALSE) / VLOOKUP("LULUCF|SO2|Infant mortality", US_national_yearly!$D:$AM, 10, FALSE), 1)</f>
        <v>9.9242959272195223E-7</v>
      </c>
      <c r="N3" s="7">
        <f>$B3 * IFERROR(VLOOKUP("LULUCF|SO2|Infant mortality", US_national_yearly!$D:$AM, 22, FALSE) / VLOOKUP("LULUCF|SO2|Infant mortality", US_national_yearly!$D:$AM, 10, FALSE), 1)</f>
        <v>9.8839515173404195E-7</v>
      </c>
      <c r="O3" s="7">
        <f>$B3 * IFERROR(VLOOKUP("LULUCF|SO2|Infant mortality", US_national_yearly!$D:$AM, 23, FALSE) / VLOOKUP("LULUCF|SO2|Infant mortality", US_national_yearly!$D:$AM, 10, FALSE), 1)</f>
        <v>9.8436071074613167E-7</v>
      </c>
      <c r="P3" s="7">
        <f>$B3 * IFERROR(VLOOKUP("LULUCF|SO2|Infant mortality", US_national_yearly!$D:$AM, 24, FALSE) / VLOOKUP("LULUCF|SO2|Infant mortality", US_national_yearly!$D:$AM, 10, FALSE), 1)</f>
        <v>9.8032626975822118E-7</v>
      </c>
      <c r="Q3" s="7">
        <f>$B3 * IFERROR(VLOOKUP("LULUCF|SO2|Infant mortality", US_national_yearly!$D:$AM, 25, FALSE) / VLOOKUP("LULUCF|SO2|Infant mortality", US_national_yearly!$D:$AM, 10, FALSE), 1)</f>
        <v>9.762918287703109E-7</v>
      </c>
      <c r="R3" s="7">
        <f>$B3 * IFERROR(VLOOKUP("LULUCF|SO2|Infant mortality", US_national_yearly!$D:$AM, 26, FALSE) / VLOOKUP("LULUCF|SO2|Infant mortality", US_national_yearly!$D:$AM, 10, FALSE), 1)</f>
        <v>9.7225738778240041E-7</v>
      </c>
      <c r="S3" s="7">
        <f>$B3 * IFERROR(VLOOKUP("LULUCF|SO2|Infant mortality", US_national_yearly!$D:$AM, 27, FALSE) / VLOOKUP("LULUCF|SO2|Infant mortality", US_national_yearly!$D:$AM, 10, FALSE), 1)</f>
        <v>9.6719190133867276E-7</v>
      </c>
      <c r="T3" s="7">
        <f>$B3 * IFERROR(VLOOKUP("LULUCF|SO2|Infant mortality", US_national_yearly!$D:$AM, 28, FALSE) / VLOOKUP("LULUCF|SO2|Infant mortality", US_national_yearly!$D:$AM, 10, FALSE), 1)</f>
        <v>9.6212641489494512E-7</v>
      </c>
      <c r="U3" s="7">
        <f>$B3 * IFERROR(VLOOKUP("LULUCF|SO2|Infant mortality", US_national_yearly!$D:$AM, 29, FALSE) / VLOOKUP("LULUCF|SO2|Infant mortality", US_national_yearly!$D:$AM, 10, FALSE), 1)</f>
        <v>9.5706092845121704E-7</v>
      </c>
      <c r="V3" s="7">
        <f>$B3 * IFERROR(VLOOKUP("LULUCF|SO2|Infant mortality", US_national_yearly!$D:$AM, 30, FALSE) / VLOOKUP("LULUCF|SO2|Infant mortality", US_national_yearly!$D:$AM, 10, FALSE), 1)</f>
        <v>9.5199544200748961E-7</v>
      </c>
      <c r="W3" s="7">
        <f>$B3 * IFERROR(VLOOKUP("LULUCF|SO2|Infant mortality", US_national_yearly!$D:$AM, 31, FALSE) / VLOOKUP("LULUCF|SO2|Infant mortality", US_national_yearly!$D:$AM, 10, FALSE), 1)</f>
        <v>9.4692995556376185E-7</v>
      </c>
      <c r="X3" s="7">
        <f>$B3 * IFERROR(VLOOKUP("LULUCF|SO2|Infant mortality", US_national_yearly!$D:$AM, 32, FALSE) / VLOOKUP("LULUCF|SO2|Infant mortality", US_national_yearly!$D:$AM, 10, FALSE), 1)</f>
        <v>9.4139181530657231E-7</v>
      </c>
      <c r="Y3" s="7">
        <f>$B3 * IFERROR(VLOOKUP("LULUCF|SO2|Infant mortality", US_national_yearly!$D:$AM, 33, FALSE) / VLOOKUP("LULUCF|SO2|Infant mortality", US_national_yearly!$D:$AM, 10, FALSE), 1)</f>
        <v>9.3585367504938244E-7</v>
      </c>
      <c r="Z3" s="7">
        <f>$B3 * IFERROR(VLOOKUP("LULUCF|SO2|Infant mortality", US_national_yearly!$D:$AM, 34, FALSE) / VLOOKUP("LULUCF|SO2|Infant mortality", US_national_yearly!$D:$AM, 10, FALSE), 1)</f>
        <v>9.3031553479219289E-7</v>
      </c>
      <c r="AA3" s="7">
        <f>$B3 * IFERROR(VLOOKUP("LULUCF|SO2|Infant mortality", US_national_yearly!$D:$AM, 35, FALSE) / VLOOKUP("LULUCF|SO2|Infant mortality", US_national_yearly!$D:$AM, 10, FALSE), 1)</f>
        <v>9.2477739453500303E-7</v>
      </c>
      <c r="AB3" s="7">
        <f>$B3 * IFERROR(VLOOKUP("LULUCF|SO2|Infant mortality", US_national_yearly!$D:$AM, 36, FALSE) / VLOOKUP("LULUCF|SO2|Infant mortality", US_national_yearly!$D:$AM, 10, FALSE), 1)</f>
        <v>9.1923925427781348E-7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3.6198681287924568E-3</v>
      </c>
      <c r="C6" s="7">
        <f>$B6 * IFERROR(VLOOKUP("LULUCF|SO2|Asthma symptoms cough", US_national_yearly!$D:$AM, 11, FALSE) / VLOOKUP("LULUCF|SO2|Asthma symptoms cough", US_national_yearly!$D:$AM, 10, FALSE), 1)</f>
        <v>3.6198681287924568E-3</v>
      </c>
      <c r="D6" s="7">
        <f>$B6 * IFERROR(VLOOKUP("LULUCF|SO2|Asthma symptoms cough", US_national_yearly!$D:$AM, 12, FALSE) / VLOOKUP("LULUCF|SO2|Asthma symptoms cough", US_national_yearly!$D:$AM, 10, FALSE), 1)</f>
        <v>3.6198681287924568E-3</v>
      </c>
      <c r="E6" s="7">
        <f>$B6 * IFERROR(VLOOKUP("LULUCF|SO2|Asthma symptoms cough", US_national_yearly!$D:$AM, 13, FALSE) / VLOOKUP("LULUCF|SO2|Asthma symptoms cough", US_national_yearly!$D:$AM, 10, FALSE), 1)</f>
        <v>3.6198681287924568E-3</v>
      </c>
      <c r="F6" s="7">
        <f>$B6 * IFERROR(VLOOKUP("LULUCF|SO2|Asthma symptoms cough", US_national_yearly!$D:$AM, 14, FALSE) / VLOOKUP("LULUCF|SO2|Asthma symptoms cough", US_national_yearly!$D:$AM, 10, FALSE), 1)</f>
        <v>3.6198681287924568E-3</v>
      </c>
      <c r="G6" s="7">
        <f>$B6 * IFERROR(VLOOKUP("LULUCF|SO2|Asthma symptoms cough", US_national_yearly!$D:$AM, 15, FALSE) / VLOOKUP("LULUCF|SO2|Asthma symptoms cough", US_national_yearly!$D:$AM, 10, FALSE), 1)</f>
        <v>3.6198681287924568E-3</v>
      </c>
      <c r="H6" s="7">
        <f>$B6 * IFERROR(VLOOKUP("LULUCF|SO2|Asthma symptoms cough", US_national_yearly!$D:$AM, 16, FALSE) / VLOOKUP("LULUCF|SO2|Asthma symptoms cough", US_national_yearly!$D:$AM, 10, FALSE), 1)</f>
        <v>3.6198681287924568E-3</v>
      </c>
      <c r="I6" s="7">
        <f>$B6 * IFERROR(VLOOKUP("LULUCF|SO2|Asthma symptoms cough", US_national_yearly!$D:$AM, 17, FALSE) / VLOOKUP("LULUCF|SO2|Asthma symptoms cough", US_national_yearly!$D:$AM, 10, FALSE), 1)</f>
        <v>3.6198681287924568E-3</v>
      </c>
      <c r="J6" s="7">
        <f>$B6 * IFERROR(VLOOKUP("LULUCF|SO2|Asthma symptoms cough", US_national_yearly!$D:$AM, 18, FALSE) / VLOOKUP("LULUCF|SO2|Asthma symptoms cough", US_national_yearly!$D:$AM, 10, FALSE), 1)</f>
        <v>3.6198681287924568E-3</v>
      </c>
      <c r="K6" s="7">
        <f>$B6 * IFERROR(VLOOKUP("LULUCF|SO2|Asthma symptoms cough", US_national_yearly!$D:$AM, 19, FALSE) / VLOOKUP("LULUCF|SO2|Asthma symptoms cough", US_national_yearly!$D:$AM, 10, FALSE), 1)</f>
        <v>3.6198681287924568E-3</v>
      </c>
      <c r="L6" s="7">
        <f>$B6 * IFERROR(VLOOKUP("LULUCF|SO2|Asthma symptoms cough", US_national_yearly!$D:$AM, 20, FALSE) / VLOOKUP("LULUCF|SO2|Asthma symptoms cough", US_national_yearly!$D:$AM, 10, FALSE), 1)</f>
        <v>3.6198681287924568E-3</v>
      </c>
      <c r="M6" s="7">
        <f>$B6 * IFERROR(VLOOKUP("LULUCF|SO2|Asthma symptoms cough", US_national_yearly!$D:$AM, 21, FALSE) / VLOOKUP("LULUCF|SO2|Asthma symptoms cough", US_national_yearly!$D:$AM, 10, FALSE), 1)</f>
        <v>3.6198681287924568E-3</v>
      </c>
      <c r="N6" s="7">
        <f>$B6 * IFERROR(VLOOKUP("LULUCF|SO2|Asthma symptoms cough", US_national_yearly!$D:$AM, 22, FALSE) / VLOOKUP("LULUCF|SO2|Asthma symptoms cough", US_national_yearly!$D:$AM, 10, FALSE), 1)</f>
        <v>3.6198681287924568E-3</v>
      </c>
      <c r="O6" s="7">
        <f>$B6 * IFERROR(VLOOKUP("LULUCF|SO2|Asthma symptoms cough", US_national_yearly!$D:$AM, 23, FALSE) / VLOOKUP("LULUCF|SO2|Asthma symptoms cough", US_national_yearly!$D:$AM, 10, FALSE), 1)</f>
        <v>3.6198681287924568E-3</v>
      </c>
      <c r="P6" s="7">
        <f>$B6 * IFERROR(VLOOKUP("LULUCF|SO2|Asthma symptoms cough", US_national_yearly!$D:$AM, 24, FALSE) / VLOOKUP("LULUCF|SO2|Asthma symptoms cough", US_national_yearly!$D:$AM, 10, FALSE), 1)</f>
        <v>3.6198681287924568E-3</v>
      </c>
      <c r="Q6" s="7">
        <f>$B6 * IFERROR(VLOOKUP("LULUCF|SO2|Asthma symptoms cough", US_national_yearly!$D:$AM, 25, FALSE) / VLOOKUP("LULUCF|SO2|Asthma symptoms cough", US_national_yearly!$D:$AM, 10, FALSE), 1)</f>
        <v>3.6198681287924568E-3</v>
      </c>
      <c r="R6" s="7">
        <f>$B6 * IFERROR(VLOOKUP("LULUCF|SO2|Asthma symptoms cough", US_national_yearly!$D:$AM, 26, FALSE) / VLOOKUP("LULUCF|SO2|Asthma symptoms cough", US_national_yearly!$D:$AM, 10, FALSE), 1)</f>
        <v>3.6198681287924568E-3</v>
      </c>
      <c r="S6" s="7">
        <f>$B6 * IFERROR(VLOOKUP("LULUCF|SO2|Asthma symptoms cough", US_national_yearly!$D:$AM, 27, FALSE) / VLOOKUP("LULUCF|SO2|Asthma symptoms cough", US_national_yearly!$D:$AM, 10, FALSE), 1)</f>
        <v>3.6198681287924568E-3</v>
      </c>
      <c r="T6" s="7">
        <f>$B6 * IFERROR(VLOOKUP("LULUCF|SO2|Asthma symptoms cough", US_national_yearly!$D:$AM, 28, FALSE) / VLOOKUP("LULUCF|SO2|Asthma symptoms cough", US_national_yearly!$D:$AM, 10, FALSE), 1)</f>
        <v>3.6198681287924568E-3</v>
      </c>
      <c r="U6" s="7">
        <f>$B6 * IFERROR(VLOOKUP("LULUCF|SO2|Asthma symptoms cough", US_national_yearly!$D:$AM, 29, FALSE) / VLOOKUP("LULUCF|SO2|Asthma symptoms cough", US_national_yearly!$D:$AM, 10, FALSE), 1)</f>
        <v>3.6198681287924568E-3</v>
      </c>
      <c r="V6" s="7">
        <f>$B6 * IFERROR(VLOOKUP("LULUCF|SO2|Asthma symptoms cough", US_national_yearly!$D:$AM, 30, FALSE) / VLOOKUP("LULUCF|SO2|Asthma symptoms cough", US_national_yearly!$D:$AM, 10, FALSE), 1)</f>
        <v>3.6198681287924568E-3</v>
      </c>
      <c r="W6" s="7">
        <f>$B6 * IFERROR(VLOOKUP("LULUCF|SO2|Asthma symptoms cough", US_national_yearly!$D:$AM, 31, FALSE) / VLOOKUP("LULUCF|SO2|Asthma symptoms cough", US_national_yearly!$D:$AM, 10, FALSE), 1)</f>
        <v>3.6198681287924568E-3</v>
      </c>
      <c r="X6" s="7">
        <f>$B6 * IFERROR(VLOOKUP("LULUCF|SO2|Asthma symptoms cough", US_national_yearly!$D:$AM, 32, FALSE) / VLOOKUP("LULUCF|SO2|Asthma symptoms cough", US_national_yearly!$D:$AM, 10, FALSE), 1)</f>
        <v>3.6198681287924568E-3</v>
      </c>
      <c r="Y6" s="7">
        <f>$B6 * IFERROR(VLOOKUP("LULUCF|SO2|Asthma symptoms cough", US_national_yearly!$D:$AM, 33, FALSE) / VLOOKUP("LULUCF|SO2|Asthma symptoms cough", US_national_yearly!$D:$AM, 10, FALSE), 1)</f>
        <v>3.6198681287924568E-3</v>
      </c>
      <c r="Z6" s="7">
        <f>$B6 * IFERROR(VLOOKUP("LULUCF|SO2|Asthma symptoms cough", US_national_yearly!$D:$AM, 34, FALSE) / VLOOKUP("LULUCF|SO2|Asthma symptoms cough", US_national_yearly!$D:$AM, 10, FALSE), 1)</f>
        <v>3.6198681287924568E-3</v>
      </c>
      <c r="AA6" s="7">
        <f>$B6 * IFERROR(VLOOKUP("LULUCF|SO2|Asthma symptoms cough", US_national_yearly!$D:$AM, 35, FALSE) / VLOOKUP("LULUCF|SO2|Asthma symptoms cough", US_national_yearly!$D:$AM, 10, FALSE), 1)</f>
        <v>3.6198681287924568E-3</v>
      </c>
      <c r="AB6" s="7">
        <f>$B6 * IFERROR(VLOOKUP("LULUCF|SO2|Asthma symptoms cough", US_national_yearly!$D:$AM, 36, FALSE) / VLOOKUP("LULUCF|SO2|Asthma symptoms cough", US_national_yearly!$D:$AM, 10, FALSE), 1)</f>
        <v>3.6198681287924568E-3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4.874668686513435E-3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4.874668686513435E-3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4.874668686513435E-3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4.874668686513435E-3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4.874668686513435E-3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4.874668686513435E-3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4.874668686513435E-3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4.874668686513435E-3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4.874668686513435E-3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4.874668686513435E-3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4.874668686513435E-3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4.874668686513435E-3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4.874668686513435E-3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4.874668686513435E-3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4.874668686513435E-3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4.874668686513435E-3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4.874668686513435E-3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4.874668686513435E-3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4.874668686513435E-3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4.874668686513435E-3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4.874668686513435E-3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4.874668686513435E-3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4.874668686513435E-3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4.874668686513435E-3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4.874668686513435E-3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4.874668686513435E-3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4.874668686513435E-3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7.4476997429946618E-3</v>
      </c>
      <c r="C8" s="7">
        <f>$B8 * IFERROR(VLOOKUP("LULUCF|SO2|Asthma symptoms wheeze", US_national_yearly!$D:$AM, 11, FALSE) / VLOOKUP("LULUCF|SO2|Asthma symptoms wheeze", US_national_yearly!$D:$AM, 10, FALSE), 1)</f>
        <v>7.4476997429946618E-3</v>
      </c>
      <c r="D8" s="7">
        <f>$B8 * IFERROR(VLOOKUP("LULUCF|SO2|Asthma symptoms wheeze", US_national_yearly!$D:$AM, 12, FALSE) / VLOOKUP("LULUCF|SO2|Asthma symptoms wheeze", US_national_yearly!$D:$AM, 10, FALSE), 1)</f>
        <v>7.4476997429946618E-3</v>
      </c>
      <c r="E8" s="7">
        <f>$B8 * IFERROR(VLOOKUP("LULUCF|SO2|Asthma symptoms wheeze", US_national_yearly!$D:$AM, 13, FALSE) / VLOOKUP("LULUCF|SO2|Asthma symptoms wheeze", US_national_yearly!$D:$AM, 10, FALSE), 1)</f>
        <v>7.4476997429946618E-3</v>
      </c>
      <c r="F8" s="7">
        <f>$B8 * IFERROR(VLOOKUP("LULUCF|SO2|Asthma symptoms wheeze", US_national_yearly!$D:$AM, 14, FALSE) / VLOOKUP("LULUCF|SO2|Asthma symptoms wheeze", US_national_yearly!$D:$AM, 10, FALSE), 1)</f>
        <v>7.4476997429946618E-3</v>
      </c>
      <c r="G8" s="7">
        <f>$B8 * IFERROR(VLOOKUP("LULUCF|SO2|Asthma symptoms wheeze", US_national_yearly!$D:$AM, 15, FALSE) / VLOOKUP("LULUCF|SO2|Asthma symptoms wheeze", US_national_yearly!$D:$AM, 10, FALSE), 1)</f>
        <v>7.4476997429946618E-3</v>
      </c>
      <c r="H8" s="7">
        <f>$B8 * IFERROR(VLOOKUP("LULUCF|SO2|Asthma symptoms wheeze", US_national_yearly!$D:$AM, 16, FALSE) / VLOOKUP("LULUCF|SO2|Asthma symptoms wheeze", US_national_yearly!$D:$AM, 10, FALSE), 1)</f>
        <v>7.4476997429946618E-3</v>
      </c>
      <c r="I8" s="7">
        <f>$B8 * IFERROR(VLOOKUP("LULUCF|SO2|Asthma symptoms wheeze", US_national_yearly!$D:$AM, 17, FALSE) / VLOOKUP("LULUCF|SO2|Asthma symptoms wheeze", US_national_yearly!$D:$AM, 10, FALSE), 1)</f>
        <v>7.4476997429946618E-3</v>
      </c>
      <c r="J8" s="7">
        <f>$B8 * IFERROR(VLOOKUP("LULUCF|SO2|Asthma symptoms wheeze", US_national_yearly!$D:$AM, 18, FALSE) / VLOOKUP("LULUCF|SO2|Asthma symptoms wheeze", US_national_yearly!$D:$AM, 10, FALSE), 1)</f>
        <v>7.4476997429946618E-3</v>
      </c>
      <c r="K8" s="7">
        <f>$B8 * IFERROR(VLOOKUP("LULUCF|SO2|Asthma symptoms wheeze", US_national_yearly!$D:$AM, 19, FALSE) / VLOOKUP("LULUCF|SO2|Asthma symptoms wheeze", US_national_yearly!$D:$AM, 10, FALSE), 1)</f>
        <v>7.4476997429946618E-3</v>
      </c>
      <c r="L8" s="7">
        <f>$B8 * IFERROR(VLOOKUP("LULUCF|SO2|Asthma symptoms wheeze", US_national_yearly!$D:$AM, 20, FALSE) / VLOOKUP("LULUCF|SO2|Asthma symptoms wheeze", US_national_yearly!$D:$AM, 10, FALSE), 1)</f>
        <v>7.4476997429946618E-3</v>
      </c>
      <c r="M8" s="7">
        <f>$B8 * IFERROR(VLOOKUP("LULUCF|SO2|Asthma symptoms wheeze", US_national_yearly!$D:$AM, 21, FALSE) / VLOOKUP("LULUCF|SO2|Asthma symptoms wheeze", US_national_yearly!$D:$AM, 10, FALSE), 1)</f>
        <v>7.4476997429946618E-3</v>
      </c>
      <c r="N8" s="7">
        <f>$B8 * IFERROR(VLOOKUP("LULUCF|SO2|Asthma symptoms wheeze", US_national_yearly!$D:$AM, 22, FALSE) / VLOOKUP("LULUCF|SO2|Asthma symptoms wheeze", US_national_yearly!$D:$AM, 10, FALSE), 1)</f>
        <v>7.4476997429946618E-3</v>
      </c>
      <c r="O8" s="7">
        <f>$B8 * IFERROR(VLOOKUP("LULUCF|SO2|Asthma symptoms wheeze", US_national_yearly!$D:$AM, 23, FALSE) / VLOOKUP("LULUCF|SO2|Asthma symptoms wheeze", US_national_yearly!$D:$AM, 10, FALSE), 1)</f>
        <v>7.4476997429946618E-3</v>
      </c>
      <c r="P8" s="7">
        <f>$B8 * IFERROR(VLOOKUP("LULUCF|SO2|Asthma symptoms wheeze", US_national_yearly!$D:$AM, 24, FALSE) / VLOOKUP("LULUCF|SO2|Asthma symptoms wheeze", US_national_yearly!$D:$AM, 10, FALSE), 1)</f>
        <v>7.4476997429946618E-3</v>
      </c>
      <c r="Q8" s="7">
        <f>$B8 * IFERROR(VLOOKUP("LULUCF|SO2|Asthma symptoms wheeze", US_national_yearly!$D:$AM, 25, FALSE) / VLOOKUP("LULUCF|SO2|Asthma symptoms wheeze", US_national_yearly!$D:$AM, 10, FALSE), 1)</f>
        <v>7.4476997429946618E-3</v>
      </c>
      <c r="R8" s="7">
        <f>$B8 * IFERROR(VLOOKUP("LULUCF|SO2|Asthma symptoms wheeze", US_national_yearly!$D:$AM, 26, FALSE) / VLOOKUP("LULUCF|SO2|Asthma symptoms wheeze", US_national_yearly!$D:$AM, 10, FALSE), 1)</f>
        <v>7.4476997429946618E-3</v>
      </c>
      <c r="S8" s="7">
        <f>$B8 * IFERROR(VLOOKUP("LULUCF|SO2|Asthma symptoms wheeze", US_national_yearly!$D:$AM, 27, FALSE) / VLOOKUP("LULUCF|SO2|Asthma symptoms wheeze", US_national_yearly!$D:$AM, 10, FALSE), 1)</f>
        <v>7.4476997429946618E-3</v>
      </c>
      <c r="T8" s="7">
        <f>$B8 * IFERROR(VLOOKUP("LULUCF|SO2|Asthma symptoms wheeze", US_national_yearly!$D:$AM, 28, FALSE) / VLOOKUP("LULUCF|SO2|Asthma symptoms wheeze", US_national_yearly!$D:$AM, 10, FALSE), 1)</f>
        <v>7.4476997429946618E-3</v>
      </c>
      <c r="U8" s="7">
        <f>$B8 * IFERROR(VLOOKUP("LULUCF|SO2|Asthma symptoms wheeze", US_national_yearly!$D:$AM, 29, FALSE) / VLOOKUP("LULUCF|SO2|Asthma symptoms wheeze", US_national_yearly!$D:$AM, 10, FALSE), 1)</f>
        <v>7.4476997429946618E-3</v>
      </c>
      <c r="V8" s="7">
        <f>$B8 * IFERROR(VLOOKUP("LULUCF|SO2|Asthma symptoms wheeze", US_national_yearly!$D:$AM, 30, FALSE) / VLOOKUP("LULUCF|SO2|Asthma symptoms wheeze", US_national_yearly!$D:$AM, 10, FALSE), 1)</f>
        <v>7.4476997429946618E-3</v>
      </c>
      <c r="W8" s="7">
        <f>$B8 * IFERROR(VLOOKUP("LULUCF|SO2|Asthma symptoms wheeze", US_national_yearly!$D:$AM, 31, FALSE) / VLOOKUP("LULUCF|SO2|Asthma symptoms wheeze", US_national_yearly!$D:$AM, 10, FALSE), 1)</f>
        <v>7.4476997429946618E-3</v>
      </c>
      <c r="X8" s="7">
        <f>$B8 * IFERROR(VLOOKUP("LULUCF|SO2|Asthma symptoms wheeze", US_national_yearly!$D:$AM, 32, FALSE) / VLOOKUP("LULUCF|SO2|Asthma symptoms wheeze", US_national_yearly!$D:$AM, 10, FALSE), 1)</f>
        <v>7.4476997429946618E-3</v>
      </c>
      <c r="Y8" s="7">
        <f>$B8 * IFERROR(VLOOKUP("LULUCF|SO2|Asthma symptoms wheeze", US_national_yearly!$D:$AM, 33, FALSE) / VLOOKUP("LULUCF|SO2|Asthma symptoms wheeze", US_national_yearly!$D:$AM, 10, FALSE), 1)</f>
        <v>7.4476997429946618E-3</v>
      </c>
      <c r="Z8" s="7">
        <f>$B8 * IFERROR(VLOOKUP("LULUCF|SO2|Asthma symptoms wheeze", US_national_yearly!$D:$AM, 34, FALSE) / VLOOKUP("LULUCF|SO2|Asthma symptoms wheeze", US_national_yearly!$D:$AM, 10, FALSE), 1)</f>
        <v>7.4476997429946618E-3</v>
      </c>
      <c r="AA8" s="7">
        <f>$B8 * IFERROR(VLOOKUP("LULUCF|SO2|Asthma symptoms wheeze", US_national_yearly!$D:$AM, 35, FALSE) / VLOOKUP("LULUCF|SO2|Asthma symptoms wheeze", US_national_yearly!$D:$AM, 10, FALSE), 1)</f>
        <v>7.4476997429946618E-3</v>
      </c>
      <c r="AB8" s="7">
        <f>$B8 * IFERROR(VLOOKUP("LULUCF|SO2|Asthma symptoms wheeze", US_national_yearly!$D:$AM, 36, FALSE) / VLOOKUP("LULUCF|SO2|Asthma symptoms wheeze", US_national_yearly!$D:$AM, 10, FALSE), 1)</f>
        <v>7.4476997429946618E-3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1.1200307861426815E-4</v>
      </c>
      <c r="C12" s="7">
        <f>$B12 * IFERROR(VLOOKUP("LULUCF|SO2|Respiratory hospital admissions", US_national_yearly!$D:$AM, 11, FALSE) / VLOOKUP("LULUCF|SO2|Respiratory hospital admissions", US_national_yearly!$D:$AM, 10, FALSE), 1)</f>
        <v>1.1266367833791683E-4</v>
      </c>
      <c r="D12" s="7">
        <f>$B12 * IFERROR(VLOOKUP("LULUCF|SO2|Respiratory hospital admissions", US_national_yearly!$D:$AM, 12, FALSE) / VLOOKUP("LULUCF|SO2|Respiratory hospital admissions", US_national_yearly!$D:$AM, 10, FALSE), 1)</f>
        <v>1.1332427806156553E-4</v>
      </c>
      <c r="E12" s="7">
        <f>$B12 * IFERROR(VLOOKUP("LULUCF|SO2|Respiratory hospital admissions", US_national_yearly!$D:$AM, 13, FALSE) / VLOOKUP("LULUCF|SO2|Respiratory hospital admissions", US_national_yearly!$D:$AM, 10, FALSE), 1)</f>
        <v>1.1398487778521421E-4</v>
      </c>
      <c r="F12" s="7">
        <f>$B12 * IFERROR(VLOOKUP("LULUCF|SO2|Respiratory hospital admissions", US_national_yearly!$D:$AM, 14, FALSE) / VLOOKUP("LULUCF|SO2|Respiratory hospital admissions", US_national_yearly!$D:$AM, 10, FALSE), 1)</f>
        <v>1.1464547750886291E-4</v>
      </c>
      <c r="G12" s="7">
        <f>$B12 * IFERROR(VLOOKUP("LULUCF|SO2|Respiratory hospital admissions", US_national_yearly!$D:$AM, 15, FALSE) / VLOOKUP("LULUCF|SO2|Respiratory hospital admissions", US_national_yearly!$D:$AM, 10, FALSE), 1)</f>
        <v>1.1536564263165247E-4</v>
      </c>
      <c r="H12" s="7">
        <f>$B12 * IFERROR(VLOOKUP("LULUCF|SO2|Respiratory hospital admissions", US_national_yearly!$D:$AM, 16, FALSE) / VLOOKUP("LULUCF|SO2|Respiratory hospital admissions", US_national_yearly!$D:$AM, 10, FALSE), 1)</f>
        <v>1.1608580775444205E-4</v>
      </c>
      <c r="I12" s="7">
        <f>$B12 * IFERROR(VLOOKUP("LULUCF|SO2|Respiratory hospital admissions", US_national_yearly!$D:$AM, 17, FALSE) / VLOOKUP("LULUCF|SO2|Respiratory hospital admissions", US_national_yearly!$D:$AM, 10, FALSE), 1)</f>
        <v>1.1679597631134672E-4</v>
      </c>
      <c r="J12" s="7">
        <f>$B12 * IFERROR(VLOOKUP("LULUCF|SO2|Respiratory hospital admissions", US_national_yearly!$D:$AM, 18, FALSE) / VLOOKUP("LULUCF|SO2|Respiratory hospital admissions", US_national_yearly!$D:$AM, 10, FALSE), 1)</f>
        <v>1.1750614486825142E-4</v>
      </c>
      <c r="K12" s="7">
        <f>$B12 * IFERROR(VLOOKUP("LULUCF|SO2|Respiratory hospital admissions", US_national_yearly!$D:$AM, 19, FALSE) / VLOOKUP("LULUCF|SO2|Respiratory hospital admissions", US_national_yearly!$D:$AM, 10, FALSE), 1)</f>
        <v>1.1821631342515606E-4</v>
      </c>
      <c r="L12" s="7">
        <f>$B12 * IFERROR(VLOOKUP("LULUCF|SO2|Respiratory hospital admissions", US_national_yearly!$D:$AM, 20, FALSE) / VLOOKUP("LULUCF|SO2|Respiratory hospital admissions", US_national_yearly!$D:$AM, 10, FALSE), 1)</f>
        <v>1.1892648198206077E-4</v>
      </c>
      <c r="M12" s="7">
        <f>$B12 * IFERROR(VLOOKUP("LULUCF|SO2|Respiratory hospital admissions", US_national_yearly!$D:$AM, 21, FALSE) / VLOOKUP("LULUCF|SO2|Respiratory hospital admissions", US_national_yearly!$D:$AM, 10, FALSE), 1)</f>
        <v>1.1963665053896542E-4</v>
      </c>
      <c r="N12" s="7">
        <f>$B12 * IFERROR(VLOOKUP("LULUCF|SO2|Respiratory hospital admissions", US_national_yearly!$D:$AM, 22, FALSE) / VLOOKUP("LULUCF|SO2|Respiratory hospital admissions", US_national_yearly!$D:$AM, 10, FALSE), 1)</f>
        <v>1.2015505166359837E-4</v>
      </c>
      <c r="O12" s="7">
        <f>$B12 * IFERROR(VLOOKUP("LULUCF|SO2|Respiratory hospital admissions", US_national_yearly!$D:$AM, 23, FALSE) / VLOOKUP("LULUCF|SO2|Respiratory hospital admissions", US_national_yearly!$D:$AM, 10, FALSE), 1)</f>
        <v>1.2067345278823132E-4</v>
      </c>
      <c r="P12" s="7">
        <f>$B12 * IFERROR(VLOOKUP("LULUCF|SO2|Respiratory hospital admissions", US_national_yearly!$D:$AM, 24, FALSE) / VLOOKUP("LULUCF|SO2|Respiratory hospital admissions", US_national_yearly!$D:$AM, 10, FALSE), 1)</f>
        <v>1.2119185391286426E-4</v>
      </c>
      <c r="Q12" s="7">
        <f>$B12 * IFERROR(VLOOKUP("LULUCF|SO2|Respiratory hospital admissions", US_national_yearly!$D:$AM, 25, FALSE) / VLOOKUP("LULUCF|SO2|Respiratory hospital admissions", US_national_yearly!$D:$AM, 10, FALSE), 1)</f>
        <v>1.2171025503749721E-4</v>
      </c>
      <c r="R12" s="7">
        <f>$B12 * IFERROR(VLOOKUP("LULUCF|SO2|Respiratory hospital admissions", US_national_yearly!$D:$AM, 26, FALSE) / VLOOKUP("LULUCF|SO2|Respiratory hospital admissions", US_national_yearly!$D:$AM, 10, FALSE), 1)</f>
        <v>1.2222865616213016E-4</v>
      </c>
      <c r="S12" s="7">
        <f>$B12 * IFERROR(VLOOKUP("LULUCF|SO2|Respiratory hospital admissions", US_national_yearly!$D:$AM, 27, FALSE) / VLOOKUP("LULUCF|SO2|Respiratory hospital admissions", US_national_yearly!$D:$AM, 10, FALSE), 1)</f>
        <v>1.2272317127990802E-4</v>
      </c>
      <c r="T12" s="7">
        <f>$B12 * IFERROR(VLOOKUP("LULUCF|SO2|Respiratory hospital admissions", US_national_yearly!$D:$AM, 28, FALSE) / VLOOKUP("LULUCF|SO2|Respiratory hospital admissions", US_national_yearly!$D:$AM, 10, FALSE), 1)</f>
        <v>1.2321768639768585E-4</v>
      </c>
      <c r="U12" s="7">
        <f>$B12 * IFERROR(VLOOKUP("LULUCF|SO2|Respiratory hospital admissions", US_national_yearly!$D:$AM, 29, FALSE) / VLOOKUP("LULUCF|SO2|Respiratory hospital admissions", US_national_yearly!$D:$AM, 10, FALSE), 1)</f>
        <v>1.2371220151546374E-4</v>
      </c>
      <c r="V12" s="7">
        <f>$B12 * IFERROR(VLOOKUP("LULUCF|SO2|Respiratory hospital admissions", US_national_yearly!$D:$AM, 30, FALSE) / VLOOKUP("LULUCF|SO2|Respiratory hospital admissions", US_national_yearly!$D:$AM, 10, FALSE), 1)</f>
        <v>1.242067166332416E-4</v>
      </c>
      <c r="W12" s="7">
        <f>$B12 * IFERROR(VLOOKUP("LULUCF|SO2|Respiratory hospital admissions", US_national_yearly!$D:$AM, 31, FALSE) / VLOOKUP("LULUCF|SO2|Respiratory hospital admissions", US_national_yearly!$D:$AM, 10, FALSE), 1)</f>
        <v>1.2470123175101945E-4</v>
      </c>
      <c r="X12" s="7">
        <f>$B12 * IFERROR(VLOOKUP("LULUCF|SO2|Respiratory hospital admissions", US_national_yearly!$D:$AM, 32, FALSE) / VLOOKUP("LULUCF|SO2|Respiratory hospital admissions", US_national_yearly!$D:$AM, 10, FALSE), 1)</f>
        <v>1.2517044540805687E-4</v>
      </c>
      <c r="Y12" s="7">
        <f>$B12 * IFERROR(VLOOKUP("LULUCF|SO2|Respiratory hospital admissions", US_national_yearly!$D:$AM, 33, FALSE) / VLOOKUP("LULUCF|SO2|Respiratory hospital admissions", US_national_yearly!$D:$AM, 10, FALSE), 1)</f>
        <v>1.2563965906509426E-4</v>
      </c>
      <c r="Z12" s="7">
        <f>$B12 * IFERROR(VLOOKUP("LULUCF|SO2|Respiratory hospital admissions", US_national_yearly!$D:$AM, 34, FALSE) / VLOOKUP("LULUCF|SO2|Respiratory hospital admissions", US_national_yearly!$D:$AM, 10, FALSE), 1)</f>
        <v>1.2610887272213164E-4</v>
      </c>
      <c r="AA12" s="7">
        <f>$B12 * IFERROR(VLOOKUP("LULUCF|SO2|Respiratory hospital admissions", US_national_yearly!$D:$AM, 35, FALSE) / VLOOKUP("LULUCF|SO2|Respiratory hospital admissions", US_national_yearly!$D:$AM, 10, FALSE), 1)</f>
        <v>1.2657808637916906E-4</v>
      </c>
      <c r="AB12" s="7">
        <f>$B12 * IFERROR(VLOOKUP("LULUCF|SO2|Respiratory hospital admissions", US_national_yearly!$D:$AM, 36, FALSE) / VLOOKUP("LULUCF|SO2|Respiratory hospital admissions", US_national_yearly!$D:$AM, 10, FALSE), 1)</f>
        <v>1.2704730003620647E-4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5.3148809787076519E-4</v>
      </c>
      <c r="C13" s="7">
        <f>$B13 * IFERROR(VLOOKUP("LULUCF|SO2|Non-fatal heart attacks", US_national_yearly!$D:$AM, 11, FALSE) / VLOOKUP("LULUCF|SO2|Non-fatal heart attacks", US_national_yearly!$D:$AM, 10, FALSE), 1)</f>
        <v>5.4709065795363024E-4</v>
      </c>
      <c r="D13" s="7">
        <f>$B13 * IFERROR(VLOOKUP("LULUCF|SO2|Non-fatal heart attacks", US_national_yearly!$D:$AM, 12, FALSE) / VLOOKUP("LULUCF|SO2|Non-fatal heart attacks", US_national_yearly!$D:$AM, 10, FALSE), 1)</f>
        <v>5.6269321803649518E-4</v>
      </c>
      <c r="E13" s="7">
        <f>$B13 * IFERROR(VLOOKUP("LULUCF|SO2|Non-fatal heart attacks", US_national_yearly!$D:$AM, 13, FALSE) / VLOOKUP("LULUCF|SO2|Non-fatal heart attacks", US_national_yearly!$D:$AM, 10, FALSE), 1)</f>
        <v>5.7829577811936022E-4</v>
      </c>
      <c r="F13" s="7">
        <f>$B13 * IFERROR(VLOOKUP("LULUCF|SO2|Non-fatal heart attacks", US_national_yearly!$D:$AM, 14, FALSE) / VLOOKUP("LULUCF|SO2|Non-fatal heart attacks", US_national_yearly!$D:$AM, 10, FALSE), 1)</f>
        <v>5.9389833820222505E-4</v>
      </c>
      <c r="G13" s="7">
        <f>$B13 * IFERROR(VLOOKUP("LULUCF|SO2|Non-fatal heart attacks", US_national_yearly!$D:$AM, 15, FALSE) / VLOOKUP("LULUCF|SO2|Non-fatal heart attacks", US_national_yearly!$D:$AM, 10, FALSE), 1)</f>
        <v>6.0861299958622534E-4</v>
      </c>
      <c r="H13" s="7">
        <f>$B13 * IFERROR(VLOOKUP("LULUCF|SO2|Non-fatal heart attacks", US_national_yearly!$D:$AM, 16, FALSE) / VLOOKUP("LULUCF|SO2|Non-fatal heart attacks", US_national_yearly!$D:$AM, 10, FALSE), 1)</f>
        <v>6.2332766097022551E-4</v>
      </c>
      <c r="I13" s="7">
        <f>$B13 * IFERROR(VLOOKUP("LULUCF|SO2|Non-fatal heart attacks", US_national_yearly!$D:$AM, 17, FALSE) / VLOOKUP("LULUCF|SO2|Non-fatal heart attacks", US_national_yearly!$D:$AM, 10, FALSE), 1)</f>
        <v>6.3516835055134086E-4</v>
      </c>
      <c r="J13" s="7">
        <f>$B13 * IFERROR(VLOOKUP("LULUCF|SO2|Non-fatal heart attacks", US_national_yearly!$D:$AM, 18, FALSE) / VLOOKUP("LULUCF|SO2|Non-fatal heart attacks", US_national_yearly!$D:$AM, 10, FALSE), 1)</f>
        <v>6.4700904013245632E-4</v>
      </c>
      <c r="K13" s="7">
        <f>$B13 * IFERROR(VLOOKUP("LULUCF|SO2|Non-fatal heart attacks", US_national_yearly!$D:$AM, 19, FALSE) / VLOOKUP("LULUCF|SO2|Non-fatal heart attacks", US_national_yearly!$D:$AM, 10, FALSE), 1)</f>
        <v>6.5884972971357167E-4</v>
      </c>
      <c r="L13" s="7">
        <f>$B13 * IFERROR(VLOOKUP("LULUCF|SO2|Non-fatal heart attacks", US_national_yearly!$D:$AM, 20, FALSE) / VLOOKUP("LULUCF|SO2|Non-fatal heart attacks", US_national_yearly!$D:$AM, 10, FALSE), 1)</f>
        <v>6.7069041929468734E-4</v>
      </c>
      <c r="M13" s="7">
        <f>$B13 * IFERROR(VLOOKUP("LULUCF|SO2|Non-fatal heart attacks", US_national_yearly!$D:$AM, 21, FALSE) / VLOOKUP("LULUCF|SO2|Non-fatal heart attacks", US_national_yearly!$D:$AM, 10, FALSE), 1)</f>
        <v>6.825311088758028E-4</v>
      </c>
      <c r="N13" s="7">
        <f>$B13 * IFERROR(VLOOKUP("LULUCF|SO2|Non-fatal heart attacks", US_national_yearly!$D:$AM, 22, FALSE) / VLOOKUP("LULUCF|SO2|Non-fatal heart attacks", US_national_yearly!$D:$AM, 10, FALSE), 1)</f>
        <v>6.9021941167533081E-4</v>
      </c>
      <c r="O13" s="7">
        <f>$B13 * IFERROR(VLOOKUP("LULUCF|SO2|Non-fatal heart attacks", US_national_yearly!$D:$AM, 23, FALSE) / VLOOKUP("LULUCF|SO2|Non-fatal heart attacks", US_national_yearly!$D:$AM, 10, FALSE), 1)</f>
        <v>6.9790771447485905E-4</v>
      </c>
      <c r="P13" s="7">
        <f>$B13 * IFERROR(VLOOKUP("LULUCF|SO2|Non-fatal heart attacks", US_national_yearly!$D:$AM, 24, FALSE) / VLOOKUP("LULUCF|SO2|Non-fatal heart attacks", US_national_yearly!$D:$AM, 10, FALSE), 1)</f>
        <v>7.0559601727438739E-4</v>
      </c>
      <c r="Q13" s="7">
        <f>$B13 * IFERROR(VLOOKUP("LULUCF|SO2|Non-fatal heart attacks", US_national_yearly!$D:$AM, 25, FALSE) / VLOOKUP("LULUCF|SO2|Non-fatal heart attacks", US_national_yearly!$D:$AM, 10, FALSE), 1)</f>
        <v>7.1328432007391552E-4</v>
      </c>
      <c r="R13" s="7">
        <f>$B13 * IFERROR(VLOOKUP("LULUCF|SO2|Non-fatal heart attacks", US_national_yearly!$D:$AM, 26, FALSE) / VLOOKUP("LULUCF|SO2|Non-fatal heart attacks", US_national_yearly!$D:$AM, 10, FALSE), 1)</f>
        <v>7.2097262287344364E-4</v>
      </c>
      <c r="S13" s="7">
        <f>$B13 * IFERROR(VLOOKUP("LULUCF|SO2|Non-fatal heart attacks", US_national_yearly!$D:$AM, 27, FALSE) / VLOOKUP("LULUCF|SO2|Non-fatal heart attacks", US_national_yearly!$D:$AM, 10, FALSE), 1)</f>
        <v>7.2498664251999603E-4</v>
      </c>
      <c r="T13" s="7">
        <f>$B13 * IFERROR(VLOOKUP("LULUCF|SO2|Non-fatal heart attacks", US_national_yearly!$D:$AM, 28, FALSE) / VLOOKUP("LULUCF|SO2|Non-fatal heart attacks", US_national_yearly!$D:$AM, 10, FALSE), 1)</f>
        <v>7.2900066216654831E-4</v>
      </c>
      <c r="U13" s="7">
        <f>$B13 * IFERROR(VLOOKUP("LULUCF|SO2|Non-fatal heart attacks", US_national_yearly!$D:$AM, 29, FALSE) / VLOOKUP("LULUCF|SO2|Non-fatal heart attacks", US_national_yearly!$D:$AM, 10, FALSE), 1)</f>
        <v>7.3301468181310048E-4</v>
      </c>
      <c r="V13" s="7">
        <f>$B13 * IFERROR(VLOOKUP("LULUCF|SO2|Non-fatal heart attacks", US_national_yearly!$D:$AM, 30, FALSE) / VLOOKUP("LULUCF|SO2|Non-fatal heart attacks", US_national_yearly!$D:$AM, 10, FALSE), 1)</f>
        <v>7.3702870145965277E-4</v>
      </c>
      <c r="W13" s="7">
        <f>$B13 * IFERROR(VLOOKUP("LULUCF|SO2|Non-fatal heart attacks", US_national_yearly!$D:$AM, 31, FALSE) / VLOOKUP("LULUCF|SO2|Non-fatal heart attacks", US_national_yearly!$D:$AM, 10, FALSE), 1)</f>
        <v>7.4104272110620515E-4</v>
      </c>
      <c r="X13" s="7">
        <f>$B13 * IFERROR(VLOOKUP("LULUCF|SO2|Non-fatal heart attacks", US_national_yearly!$D:$AM, 32, FALSE) / VLOOKUP("LULUCF|SO2|Non-fatal heart attacks", US_national_yearly!$D:$AM, 10, FALSE), 1)</f>
        <v>7.4407295481759492E-4</v>
      </c>
      <c r="Y13" s="7">
        <f>$B13 * IFERROR(VLOOKUP("LULUCF|SO2|Non-fatal heart attacks", US_national_yearly!$D:$AM, 33, FALSE) / VLOOKUP("LULUCF|SO2|Non-fatal heart attacks", US_national_yearly!$D:$AM, 10, FALSE), 1)</f>
        <v>7.4710318852898468E-4</v>
      </c>
      <c r="Z13" s="7">
        <f>$B13 * IFERROR(VLOOKUP("LULUCF|SO2|Non-fatal heart attacks", US_national_yearly!$D:$AM, 34, FALSE) / VLOOKUP("LULUCF|SO2|Non-fatal heart attacks", US_national_yearly!$D:$AM, 10, FALSE), 1)</f>
        <v>7.5013342224037444E-4</v>
      </c>
      <c r="AA13" s="7">
        <f>$B13 * IFERROR(VLOOKUP("LULUCF|SO2|Non-fatal heart attacks", US_national_yearly!$D:$AM, 35, FALSE) / VLOOKUP("LULUCF|SO2|Non-fatal heart attacks", US_national_yearly!$D:$AM, 10, FALSE), 1)</f>
        <v>7.531636559517642E-4</v>
      </c>
      <c r="AB13" s="7">
        <f>$B13 * IFERROR(VLOOKUP("LULUCF|SO2|Non-fatal heart attacks", US_national_yearly!$D:$AM, 36, FALSE) / VLOOKUP("LULUCF|SO2|Non-fatal heart attacks", US_national_yearly!$D:$AM, 10, FALSE), 1)</f>
        <v>7.5619388966315397E-4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0.50391704277950888</v>
      </c>
      <c r="C14" s="7">
        <f>$B14 * IFERROR(VLOOKUP("LULUCF|SO2|Minor restricted activity days", US_national_yearly!$D:$AM, 11, FALSE) / VLOOKUP("LULUCF|SO2|Minor restricted activity days", US_national_yearly!$D:$AM, 10, FALSE), 1)</f>
        <v>0.50518724974306628</v>
      </c>
      <c r="D14" s="7">
        <f>$B14 * IFERROR(VLOOKUP("LULUCF|SO2|Minor restricted activity days", US_national_yearly!$D:$AM, 12, FALSE) / VLOOKUP("LULUCF|SO2|Minor restricted activity days", US_national_yearly!$D:$AM, 10, FALSE), 1)</f>
        <v>0.50645745670662345</v>
      </c>
      <c r="E14" s="7">
        <f>$B14 * IFERROR(VLOOKUP("LULUCF|SO2|Minor restricted activity days", US_national_yearly!$D:$AM, 13, FALSE) / VLOOKUP("LULUCF|SO2|Minor restricted activity days", US_national_yearly!$D:$AM, 10, FALSE), 1)</f>
        <v>0.50772766367018085</v>
      </c>
      <c r="F14" s="7">
        <f>$B14 * IFERROR(VLOOKUP("LULUCF|SO2|Minor restricted activity days", US_national_yearly!$D:$AM, 14, FALSE) / VLOOKUP("LULUCF|SO2|Minor restricted activity days", US_national_yearly!$D:$AM, 10, FALSE), 1)</f>
        <v>0.50899787063373814</v>
      </c>
      <c r="G14" s="7">
        <f>$B14 * IFERROR(VLOOKUP("LULUCF|SO2|Minor restricted activity days", US_national_yearly!$D:$AM, 15, FALSE) / VLOOKUP("LULUCF|SO2|Minor restricted activity days", US_national_yearly!$D:$AM, 10, FALSE), 1)</f>
        <v>0.51086749049826552</v>
      </c>
      <c r="H14" s="7">
        <f>$B14 * IFERROR(VLOOKUP("LULUCF|SO2|Minor restricted activity days", US_national_yearly!$D:$AM, 16, FALSE) / VLOOKUP("LULUCF|SO2|Minor restricted activity days", US_national_yearly!$D:$AM, 10, FALSE), 1)</f>
        <v>0.51273711036279301</v>
      </c>
      <c r="I14" s="7">
        <f>$B14 * IFERROR(VLOOKUP("LULUCF|SO2|Minor restricted activity days", US_national_yearly!$D:$AM, 17, FALSE) / VLOOKUP("LULUCF|SO2|Minor restricted activity days", US_national_yearly!$D:$AM, 10, FALSE), 1)</f>
        <v>0.5159255727727553</v>
      </c>
      <c r="J14" s="7">
        <f>$B14 * IFERROR(VLOOKUP("LULUCF|SO2|Minor restricted activity days", US_national_yearly!$D:$AM, 18, FALSE) / VLOOKUP("LULUCF|SO2|Minor restricted activity days", US_national_yearly!$D:$AM, 10, FALSE), 1)</f>
        <v>0.51911403518271759</v>
      </c>
      <c r="K14" s="7">
        <f>$B14 * IFERROR(VLOOKUP("LULUCF|SO2|Minor restricted activity days", US_national_yearly!$D:$AM, 19, FALSE) / VLOOKUP("LULUCF|SO2|Minor restricted activity days", US_national_yearly!$D:$AM, 10, FALSE), 1)</f>
        <v>0.52230249759267999</v>
      </c>
      <c r="L14" s="7">
        <f>$B14 * IFERROR(VLOOKUP("LULUCF|SO2|Minor restricted activity days", US_national_yearly!$D:$AM, 20, FALSE) / VLOOKUP("LULUCF|SO2|Minor restricted activity days", US_national_yearly!$D:$AM, 10, FALSE), 1)</f>
        <v>0.52549096000264228</v>
      </c>
      <c r="M14" s="7">
        <f>$B14 * IFERROR(VLOOKUP("LULUCF|SO2|Minor restricted activity days", US_national_yearly!$D:$AM, 21, FALSE) / VLOOKUP("LULUCF|SO2|Minor restricted activity days", US_national_yearly!$D:$AM, 10, FALSE), 1)</f>
        <v>0.52867942241260457</v>
      </c>
      <c r="N14" s="7">
        <f>$B14 * IFERROR(VLOOKUP("LULUCF|SO2|Minor restricted activity days", US_national_yearly!$D:$AM, 22, FALSE) / VLOOKUP("LULUCF|SO2|Minor restricted activity days", US_national_yearly!$D:$AM, 10, FALSE), 1)</f>
        <v>0.53304072737201202</v>
      </c>
      <c r="O14" s="7">
        <f>$B14 * IFERROR(VLOOKUP("LULUCF|SO2|Minor restricted activity days", US_national_yearly!$D:$AM, 23, FALSE) / VLOOKUP("LULUCF|SO2|Minor restricted activity days", US_national_yearly!$D:$AM, 10, FALSE), 1)</f>
        <v>0.53740203233141948</v>
      </c>
      <c r="P14" s="7">
        <f>$B14 * IFERROR(VLOOKUP("LULUCF|SO2|Minor restricted activity days", US_national_yearly!$D:$AM, 24, FALSE) / VLOOKUP("LULUCF|SO2|Minor restricted activity days", US_national_yearly!$D:$AM, 10, FALSE), 1)</f>
        <v>0.54176333729082693</v>
      </c>
      <c r="Q14" s="7">
        <f>$B14 * IFERROR(VLOOKUP("LULUCF|SO2|Minor restricted activity days", US_national_yearly!$D:$AM, 25, FALSE) / VLOOKUP("LULUCF|SO2|Minor restricted activity days", US_national_yearly!$D:$AM, 10, FALSE), 1)</f>
        <v>0.54612464225023427</v>
      </c>
      <c r="R14" s="7">
        <f>$B14 * IFERROR(VLOOKUP("LULUCF|SO2|Minor restricted activity days", US_national_yearly!$D:$AM, 26, FALSE) / VLOOKUP("LULUCF|SO2|Minor restricted activity days", US_national_yearly!$D:$AM, 10, FALSE), 1)</f>
        <v>0.55048594720964172</v>
      </c>
      <c r="S14" s="7">
        <f>$B14 * IFERROR(VLOOKUP("LULUCF|SO2|Minor restricted activity days", US_national_yearly!$D:$AM, 27, FALSE) / VLOOKUP("LULUCF|SO2|Minor restricted activity days", US_national_yearly!$D:$AM, 10, FALSE), 1)</f>
        <v>0.55493272447379161</v>
      </c>
      <c r="T14" s="7">
        <f>$B14 * IFERROR(VLOOKUP("LULUCF|SO2|Minor restricted activity days", US_national_yearly!$D:$AM, 28, FALSE) / VLOOKUP("LULUCF|SO2|Minor restricted activity days", US_national_yearly!$D:$AM, 10, FALSE), 1)</f>
        <v>0.55937950173794149</v>
      </c>
      <c r="U14" s="7">
        <f>$B14 * IFERROR(VLOOKUP("LULUCF|SO2|Minor restricted activity days", US_national_yearly!$D:$AM, 29, FALSE) / VLOOKUP("LULUCF|SO2|Minor restricted activity days", US_national_yearly!$D:$AM, 10, FALSE), 1)</f>
        <v>0.56382627900209137</v>
      </c>
      <c r="V14" s="7">
        <f>$B14 * IFERROR(VLOOKUP("LULUCF|SO2|Minor restricted activity days", US_national_yearly!$D:$AM, 30, FALSE) / VLOOKUP("LULUCF|SO2|Minor restricted activity days", US_national_yearly!$D:$AM, 10, FALSE), 1)</f>
        <v>0.56827305626624125</v>
      </c>
      <c r="W14" s="7">
        <f>$B14 * IFERROR(VLOOKUP("LULUCF|SO2|Minor restricted activity days", US_national_yearly!$D:$AM, 31, FALSE) / VLOOKUP("LULUCF|SO2|Minor restricted activity days", US_national_yearly!$D:$AM, 10, FALSE), 1)</f>
        <v>0.57271983353039113</v>
      </c>
      <c r="X14" s="7">
        <f>$B14 * IFERROR(VLOOKUP("LULUCF|SO2|Minor restricted activity days", US_national_yearly!$D:$AM, 32, FALSE) / VLOOKUP("LULUCF|SO2|Minor restricted activity days", US_national_yearly!$D:$AM, 10, FALSE), 1)</f>
        <v>0.57663041977579399</v>
      </c>
      <c r="Y14" s="7">
        <f>$B14 * IFERROR(VLOOKUP("LULUCF|SO2|Minor restricted activity days", US_national_yearly!$D:$AM, 33, FALSE) / VLOOKUP("LULUCF|SO2|Minor restricted activity days", US_national_yearly!$D:$AM, 10, FALSE), 1)</f>
        <v>0.58054100602119674</v>
      </c>
      <c r="Z14" s="7">
        <f>$B14 * IFERROR(VLOOKUP("LULUCF|SO2|Minor restricted activity days", US_national_yearly!$D:$AM, 34, FALSE) / VLOOKUP("LULUCF|SO2|Minor restricted activity days", US_national_yearly!$D:$AM, 10, FALSE), 1)</f>
        <v>0.5844515922665996</v>
      </c>
      <c r="AA14" s="7">
        <f>$B14 * IFERROR(VLOOKUP("LULUCF|SO2|Minor restricted activity days", US_national_yearly!$D:$AM, 35, FALSE) / VLOOKUP("LULUCF|SO2|Minor restricted activity days", US_national_yearly!$D:$AM, 10, FALSE), 1)</f>
        <v>0.58836217851200245</v>
      </c>
      <c r="AB14" s="7">
        <f>$B14 * IFERROR(VLOOKUP("LULUCF|SO2|Minor restricted activity days", US_national_yearly!$D:$AM, 36, FALSE) / VLOOKUP("LULUCF|SO2|Minor restricted activity days", US_national_yearly!$D:$AM, 10, FALSE), 1)</f>
        <v>0.59227276475740531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8.5794138818876625E-2</v>
      </c>
      <c r="C15" s="7">
        <f>$B15 * IFERROR(VLOOKUP("LULUCF|SO2|Work loss days", US_national_yearly!$D:$AM, 11, FALSE) / VLOOKUP("LULUCF|SO2|Work loss days", US_national_yearly!$D:$AM, 10, FALSE), 1)</f>
        <v>8.6072098192877561E-2</v>
      </c>
      <c r="D15" s="7">
        <f>$B15 * IFERROR(VLOOKUP("LULUCF|SO2|Work loss days", US_national_yearly!$D:$AM, 12, FALSE) / VLOOKUP("LULUCF|SO2|Work loss days", US_national_yearly!$D:$AM, 10, FALSE), 1)</f>
        <v>8.635005756687851E-2</v>
      </c>
      <c r="E15" s="7">
        <f>$B15 * IFERROR(VLOOKUP("LULUCF|SO2|Work loss days", US_national_yearly!$D:$AM, 13, FALSE) / VLOOKUP("LULUCF|SO2|Work loss days", US_national_yearly!$D:$AM, 10, FALSE), 1)</f>
        <v>8.6628016940879446E-2</v>
      </c>
      <c r="F15" s="7">
        <f>$B15 * IFERROR(VLOOKUP("LULUCF|SO2|Work loss days", US_national_yearly!$D:$AM, 14, FALSE) / VLOOKUP("LULUCF|SO2|Work loss days", US_national_yearly!$D:$AM, 10, FALSE), 1)</f>
        <v>8.6905976314880395E-2</v>
      </c>
      <c r="G15" s="7">
        <f>$B15 * IFERROR(VLOOKUP("LULUCF|SO2|Work loss days", US_national_yearly!$D:$AM, 15, FALSE) / VLOOKUP("LULUCF|SO2|Work loss days", US_national_yearly!$D:$AM, 10, FALSE), 1)</f>
        <v>8.7269164247515837E-2</v>
      </c>
      <c r="H15" s="7">
        <f>$B15 * IFERROR(VLOOKUP("LULUCF|SO2|Work loss days", US_national_yearly!$D:$AM, 16, FALSE) / VLOOKUP("LULUCF|SO2|Work loss days", US_national_yearly!$D:$AM, 10, FALSE), 1)</f>
        <v>8.7632352180151266E-2</v>
      </c>
      <c r="I15" s="7">
        <f>$B15 * IFERROR(VLOOKUP("LULUCF|SO2|Work loss days", US_national_yearly!$D:$AM, 17, FALSE) / VLOOKUP("LULUCF|SO2|Work loss days", US_national_yearly!$D:$AM, 10, FALSE), 1)</f>
        <v>8.8163647371134315E-2</v>
      </c>
      <c r="J15" s="7">
        <f>$B15 * IFERROR(VLOOKUP("LULUCF|SO2|Work loss days", US_national_yearly!$D:$AM, 18, FALSE) / VLOOKUP("LULUCF|SO2|Work loss days", US_national_yearly!$D:$AM, 10, FALSE), 1)</f>
        <v>8.8694942562117352E-2</v>
      </c>
      <c r="K15" s="7">
        <f>$B15 * IFERROR(VLOOKUP("LULUCF|SO2|Work loss days", US_national_yearly!$D:$AM, 19, FALSE) / VLOOKUP("LULUCF|SO2|Work loss days", US_national_yearly!$D:$AM, 10, FALSE), 1)</f>
        <v>8.9226237753100415E-2</v>
      </c>
      <c r="L15" s="7">
        <f>$B15 * IFERROR(VLOOKUP("LULUCF|SO2|Work loss days", US_national_yearly!$D:$AM, 20, FALSE) / VLOOKUP("LULUCF|SO2|Work loss days", US_national_yearly!$D:$AM, 10, FALSE), 1)</f>
        <v>8.9757532944083465E-2</v>
      </c>
      <c r="M15" s="7">
        <f>$B15 * IFERROR(VLOOKUP("LULUCF|SO2|Work loss days", US_national_yearly!$D:$AM, 21, FALSE) / VLOOKUP("LULUCF|SO2|Work loss days", US_national_yearly!$D:$AM, 10, FALSE), 1)</f>
        <v>9.0288828135066515E-2</v>
      </c>
      <c r="N15" s="7">
        <f>$B15 * IFERROR(VLOOKUP("LULUCF|SO2|Work loss days", US_national_yearly!$D:$AM, 22, FALSE) / VLOOKUP("LULUCF|SO2|Work loss days", US_national_yearly!$D:$AM, 10, FALSE), 1)</f>
        <v>9.0954986207866406E-2</v>
      </c>
      <c r="O15" s="7">
        <f>$B15 * IFERROR(VLOOKUP("LULUCF|SO2|Work loss days", US_national_yearly!$D:$AM, 23, FALSE) / VLOOKUP("LULUCF|SO2|Work loss days", US_national_yearly!$D:$AM, 10, FALSE), 1)</f>
        <v>9.1621144280666283E-2</v>
      </c>
      <c r="P15" s="7">
        <f>$B15 * IFERROR(VLOOKUP("LULUCF|SO2|Work loss days", US_national_yearly!$D:$AM, 24, FALSE) / VLOOKUP("LULUCF|SO2|Work loss days", US_national_yearly!$D:$AM, 10, FALSE), 1)</f>
        <v>9.2287302353466147E-2</v>
      </c>
      <c r="Q15" s="7">
        <f>$B15 * IFERROR(VLOOKUP("LULUCF|SO2|Work loss days", US_national_yearly!$D:$AM, 25, FALSE) / VLOOKUP("LULUCF|SO2|Work loss days", US_national_yearly!$D:$AM, 10, FALSE), 1)</f>
        <v>9.2953460426266024E-2</v>
      </c>
      <c r="R15" s="7">
        <f>$B15 * IFERROR(VLOOKUP("LULUCF|SO2|Work loss days", US_national_yearly!$D:$AM, 26, FALSE) / VLOOKUP("LULUCF|SO2|Work loss days", US_national_yearly!$D:$AM, 10, FALSE), 1)</f>
        <v>9.3619618499065901E-2</v>
      </c>
      <c r="S15" s="7">
        <f>$B15 * IFERROR(VLOOKUP("LULUCF|SO2|Work loss days", US_national_yearly!$D:$AM, 27, FALSE) / VLOOKUP("LULUCF|SO2|Work loss days", US_national_yearly!$D:$AM, 10, FALSE), 1)</f>
        <v>9.4364047949124646E-2</v>
      </c>
      <c r="T15" s="7">
        <f>$B15 * IFERROR(VLOOKUP("LULUCF|SO2|Work loss days", US_national_yearly!$D:$AM, 28, FALSE) / VLOOKUP("LULUCF|SO2|Work loss days", US_national_yearly!$D:$AM, 10, FALSE), 1)</f>
        <v>9.5108477399183419E-2</v>
      </c>
      <c r="U15" s="7">
        <f>$B15 * IFERROR(VLOOKUP("LULUCF|SO2|Work loss days", US_national_yearly!$D:$AM, 29, FALSE) / VLOOKUP("LULUCF|SO2|Work loss days", US_national_yearly!$D:$AM, 10, FALSE), 1)</f>
        <v>9.5852906849242164E-2</v>
      </c>
      <c r="V15" s="7">
        <f>$B15 * IFERROR(VLOOKUP("LULUCF|SO2|Work loss days", US_national_yearly!$D:$AM, 30, FALSE) / VLOOKUP("LULUCF|SO2|Work loss days", US_national_yearly!$D:$AM, 10, FALSE), 1)</f>
        <v>9.6597336299300923E-2</v>
      </c>
      <c r="W15" s="7">
        <f>$B15 * IFERROR(VLOOKUP("LULUCF|SO2|Work loss days", US_national_yearly!$D:$AM, 31, FALSE) / VLOOKUP("LULUCF|SO2|Work loss days", US_national_yearly!$D:$AM, 10, FALSE), 1)</f>
        <v>9.7341765749359682E-2</v>
      </c>
      <c r="X15" s="7">
        <f>$B15 * IFERROR(VLOOKUP("LULUCF|SO2|Work loss days", US_national_yearly!$D:$AM, 32, FALSE) / VLOOKUP("LULUCF|SO2|Work loss days", US_national_yearly!$D:$AM, 10, FALSE), 1)</f>
        <v>9.8010160785876654E-2</v>
      </c>
      <c r="Y15" s="7">
        <f>$B15 * IFERROR(VLOOKUP("LULUCF|SO2|Work loss days", US_national_yearly!$D:$AM, 33, FALSE) / VLOOKUP("LULUCF|SO2|Work loss days", US_national_yearly!$D:$AM, 10, FALSE), 1)</f>
        <v>9.8678555822393654E-2</v>
      </c>
      <c r="Z15" s="7">
        <f>$B15 * IFERROR(VLOOKUP("LULUCF|SO2|Work loss days", US_national_yearly!$D:$AM, 34, FALSE) / VLOOKUP("LULUCF|SO2|Work loss days", US_national_yearly!$D:$AM, 10, FALSE), 1)</f>
        <v>9.934695085891064E-2</v>
      </c>
      <c r="AA15" s="7">
        <f>$B15 * IFERROR(VLOOKUP("LULUCF|SO2|Work loss days", US_national_yearly!$D:$AM, 35, FALSE) / VLOOKUP("LULUCF|SO2|Work loss days", US_national_yearly!$D:$AM, 10, FALSE), 1)</f>
        <v>0.10001534589542764</v>
      </c>
      <c r="AB15" s="7">
        <f>$B15 * IFERROR(VLOOKUP("LULUCF|SO2|Work loss days", US_national_yearly!$D:$AM, 36, FALSE) / VLOOKUP("LULUCF|SO2|Work loss days", US_national_yearly!$D:$AM, 10, FALSE), 1)</f>
        <v>0.10068374093194464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1.2675566639488241E-4</v>
      </c>
      <c r="C17" s="7">
        <f>$B17 * IFERROR(VLOOKUP("LULUCF|SO2|Cardiovascular hospital admissions", US_national_yearly!$D:$AM, 11, FALSE) / VLOOKUP("LULUCF|SO2|Cardiovascular hospital admissions", US_national_yearly!$D:$AM, 10, FALSE), 1)</f>
        <v>1.3058924314757216E-4</v>
      </c>
      <c r="D17" s="7">
        <f>$B17 * IFERROR(VLOOKUP("LULUCF|SO2|Cardiovascular hospital admissions", US_national_yearly!$D:$AM, 12, FALSE) / VLOOKUP("LULUCF|SO2|Cardiovascular hospital admissions", US_national_yearly!$D:$AM, 10, FALSE), 1)</f>
        <v>1.3442281990026195E-4</v>
      </c>
      <c r="E17" s="7">
        <f>$B17 * IFERROR(VLOOKUP("LULUCF|SO2|Cardiovascular hospital admissions", US_national_yearly!$D:$AM, 13, FALSE) / VLOOKUP("LULUCF|SO2|Cardiovascular hospital admissions", US_national_yearly!$D:$AM, 10, FALSE), 1)</f>
        <v>1.3825639665295171E-4</v>
      </c>
      <c r="F17" s="7">
        <f>$B17 * IFERROR(VLOOKUP("LULUCF|SO2|Cardiovascular hospital admissions", US_national_yearly!$D:$AM, 14, FALSE) / VLOOKUP("LULUCF|SO2|Cardiovascular hospital admissions", US_national_yearly!$D:$AM, 10, FALSE), 1)</f>
        <v>1.4208997340564152E-4</v>
      </c>
      <c r="G17" s="7">
        <f>$B17 * IFERROR(VLOOKUP("LULUCF|SO2|Cardiovascular hospital admissions", US_national_yearly!$D:$AM, 15, FALSE) / VLOOKUP("LULUCF|SO2|Cardiovascular hospital admissions", US_national_yearly!$D:$AM, 10, FALSE), 1)</f>
        <v>1.4576217541854489E-4</v>
      </c>
      <c r="H17" s="7">
        <f>$B17 * IFERROR(VLOOKUP("LULUCF|SO2|Cardiovascular hospital admissions", US_national_yearly!$D:$AM, 16, FALSE) / VLOOKUP("LULUCF|SO2|Cardiovascular hospital admissions", US_national_yearly!$D:$AM, 10, FALSE), 1)</f>
        <v>1.4943437743144831E-4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1.5258073793253952E-4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1.5572709843363075E-4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1.5887345893472195E-4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1.6201981943581316E-4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1.6516617993690436E-4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1.6727981748489794E-4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1.6939345503289152E-4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1.7150709258088507E-4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1.7362073012887864E-4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1.7573436767687222E-4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1.7684599053598287E-4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1.7795761339509352E-4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1.7906923625420415E-4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1.801808591133148E-4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1.8129248197242543E-4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1.820387511451906E-4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1.8278502031795574E-4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1.8353128949072088E-4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1.8427755866348608E-4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1.8502382783625119E-4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2026-06-15T17:16:34Z</dcterms:modified>
</cp:coreProperties>
</file>