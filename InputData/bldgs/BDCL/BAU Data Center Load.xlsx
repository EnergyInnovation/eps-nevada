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V\bldgs\BDCL\"/>
    </mc:Choice>
  </mc:AlternateContent>
  <xr:revisionPtr revIDLastSave="0" documentId="8_{2158C604-1BE1-4CAA-96D3-37D1EF5A70A4}"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AC166" i="10"/>
  <c r="E166" i="10"/>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C166" i="10"/>
  <c r="D166" i="10" s="1"/>
  <c r="B166" i="10"/>
  <c r="AC165" i="10"/>
  <c r="F165" i="10"/>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65" i="10"/>
  <c r="D165" i="10" s="1"/>
  <c r="E165" i="10" s="1"/>
  <c r="B165" i="10"/>
  <c r="AC160" i="10"/>
  <c r="B160" i="10"/>
  <c r="AC159" i="10"/>
  <c r="J159" i="10"/>
  <c r="K159" i="10" s="1"/>
  <c r="L159" i="10" s="1"/>
  <c r="M159" i="10" s="1"/>
  <c r="N159" i="10" s="1"/>
  <c r="O159" i="10" s="1"/>
  <c r="P159" i="10" s="1"/>
  <c r="Q159" i="10" s="1"/>
  <c r="R159" i="10" s="1"/>
  <c r="S159" i="10" s="1"/>
  <c r="T159" i="10" s="1"/>
  <c r="U159" i="10" s="1"/>
  <c r="V159" i="10" s="1"/>
  <c r="W159" i="10" s="1"/>
  <c r="X159" i="10" s="1"/>
  <c r="Y159" i="10" s="1"/>
  <c r="Z159" i="10" s="1"/>
  <c r="AA159" i="10" s="1"/>
  <c r="AB159" i="10" s="1"/>
  <c r="G159" i="10"/>
  <c r="H159" i="10" s="1"/>
  <c r="I159" i="10" s="1"/>
  <c r="B159" i="10"/>
  <c r="C159" i="10" s="1"/>
  <c r="D159" i="10" s="1"/>
  <c r="E159" i="10" s="1"/>
  <c r="F159" i="10" s="1"/>
  <c r="F158" i="10"/>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AC157" i="10"/>
  <c r="D157" i="10"/>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C157" i="10"/>
  <c r="B157" i="10"/>
  <c r="AC156" i="10"/>
  <c r="F156" i="10"/>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C156" i="10" s="1"/>
  <c r="D156" i="10" s="1"/>
  <c r="E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B154" i="10"/>
  <c r="AC153" i="10"/>
  <c r="F153" i="10"/>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C153" i="10" s="1"/>
  <c r="D153" i="10" s="1"/>
  <c r="E153" i="10" s="1"/>
  <c r="AC152" i="10"/>
  <c r="P152" i="10"/>
  <c r="Q152" i="10" s="1"/>
  <c r="R152" i="10" s="1"/>
  <c r="S152" i="10" s="1"/>
  <c r="T152" i="10" s="1"/>
  <c r="U152" i="10" s="1"/>
  <c r="V152" i="10" s="1"/>
  <c r="W152" i="10" s="1"/>
  <c r="X152" i="10" s="1"/>
  <c r="Y152" i="10" s="1"/>
  <c r="Z152" i="10" s="1"/>
  <c r="AA152" i="10" s="1"/>
  <c r="AB152" i="10" s="1"/>
  <c r="B152" i="10"/>
  <c r="C152" i="10" s="1"/>
  <c r="D152" i="10" s="1"/>
  <c r="E152" i="10" s="1"/>
  <c r="F152" i="10" s="1"/>
  <c r="G152" i="10" s="1"/>
  <c r="H152" i="10" s="1"/>
  <c r="I152" i="10" s="1"/>
  <c r="J152" i="10" s="1"/>
  <c r="K152" i="10" s="1"/>
  <c r="L152" i="10" s="1"/>
  <c r="M152" i="10" s="1"/>
  <c r="N152" i="10" s="1"/>
  <c r="O152" i="10" s="1"/>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E150" i="10"/>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C150" i="10" s="1"/>
  <c r="D150" i="10" s="1"/>
  <c r="AC149" i="10"/>
  <c r="E149" i="10"/>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B149" i="10"/>
  <c r="C149" i="10" s="1"/>
  <c r="D149" i="10" s="1"/>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B144" i="10"/>
  <c r="AC143" i="10"/>
  <c r="C143" i="10" s="1"/>
  <c r="D143" i="10" s="1"/>
  <c r="E143" i="10" s="1"/>
  <c r="F143" i="10" s="1"/>
  <c r="G143" i="10" s="1"/>
  <c r="H143" i="10" s="1"/>
  <c r="I143" i="10" s="1"/>
  <c r="J143" i="10" s="1"/>
  <c r="K143" i="10" s="1"/>
  <c r="L143" i="10" s="1"/>
  <c r="M143" i="10" s="1"/>
  <c r="N143" i="10" s="1"/>
  <c r="O143" i="10" s="1"/>
  <c r="P143" i="10" s="1"/>
  <c r="Q143" i="10" s="1"/>
  <c r="R143" i="10" s="1"/>
  <c r="S143" i="10"/>
  <c r="T143" i="10" s="1"/>
  <c r="U143" i="10" s="1"/>
  <c r="V143" i="10" s="1"/>
  <c r="W143" i="10" s="1"/>
  <c r="X143" i="10" s="1"/>
  <c r="Y143" i="10" s="1"/>
  <c r="Z143" i="10" s="1"/>
  <c r="AA143" i="10" s="1"/>
  <c r="AB143" i="10" s="1"/>
  <c r="B143" i="10"/>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G141" i="10"/>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41" i="10"/>
  <c r="D141" i="10" s="1"/>
  <c r="E141" i="10" s="1"/>
  <c r="F141" i="10" s="1"/>
  <c r="B141" i="10"/>
  <c r="AC140" i="10"/>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E139" i="10"/>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C139" i="10"/>
  <c r="D139" i="10" s="1"/>
  <c r="B139" i="10"/>
  <c r="AC138" i="10"/>
  <c r="D138" i="10"/>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C138" i="10" s="1"/>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B136" i="10"/>
  <c r="AC135" i="10"/>
  <c r="U135" i="10"/>
  <c r="V135" i="10" s="1"/>
  <c r="W135" i="10" s="1"/>
  <c r="X135" i="10" s="1"/>
  <c r="Y135" i="10" s="1"/>
  <c r="Z135" i="10" s="1"/>
  <c r="AA135" i="10" s="1"/>
  <c r="AB135" i="10" s="1"/>
  <c r="M135" i="10"/>
  <c r="N135" i="10" s="1"/>
  <c r="O135" i="10" s="1"/>
  <c r="P135" i="10" s="1"/>
  <c r="Q135" i="10" s="1"/>
  <c r="R135" i="10" s="1"/>
  <c r="S135" i="10" s="1"/>
  <c r="T135" i="10" s="1"/>
  <c r="G135" i="10"/>
  <c r="H135" i="10" s="1"/>
  <c r="I135" i="10" s="1"/>
  <c r="J135" i="10" s="1"/>
  <c r="K135" i="10" s="1"/>
  <c r="L135" i="10" s="1"/>
  <c r="B135" i="10"/>
  <c r="C135" i="10" s="1"/>
  <c r="D135" i="10" s="1"/>
  <c r="E135" i="10" s="1"/>
  <c r="F135" i="10" s="1"/>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B133" i="10"/>
  <c r="AC132" i="10"/>
  <c r="B132" i="10"/>
  <c r="AC131" i="10"/>
  <c r="G131" i="10"/>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D131" i="10"/>
  <c r="E131" i="10" s="1"/>
  <c r="F131" i="10" s="1"/>
  <c r="C131" i="10"/>
  <c r="B131" i="10"/>
  <c r="AC130" i="10"/>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O129" i="10"/>
  <c r="P129" i="10" s="1"/>
  <c r="Q129" i="10" s="1"/>
  <c r="R129" i="10" s="1"/>
  <c r="S129" i="10" s="1"/>
  <c r="T129" i="10" s="1"/>
  <c r="U129" i="10" s="1"/>
  <c r="V129" i="10" s="1"/>
  <c r="W129" i="10" s="1"/>
  <c r="X129" i="10" s="1"/>
  <c r="Y129" i="10" s="1"/>
  <c r="Z129" i="10" s="1"/>
  <c r="AA129" i="10" s="1"/>
  <c r="AB129" i="10" s="1"/>
  <c r="C129" i="10"/>
  <c r="D129" i="10" s="1"/>
  <c r="E129" i="10" s="1"/>
  <c r="F129" i="10" s="1"/>
  <c r="G129" i="10" s="1"/>
  <c r="H129" i="10" s="1"/>
  <c r="I129" i="10" s="1"/>
  <c r="J129" i="10" s="1"/>
  <c r="K129" i="10" s="1"/>
  <c r="L129" i="10" s="1"/>
  <c r="M129" i="10" s="1"/>
  <c r="N129" i="10" s="1"/>
  <c r="B129" i="10"/>
  <c r="AC128" i="10"/>
  <c r="D128" i="10"/>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C128" i="10"/>
  <c r="B128" i="10"/>
  <c r="AC127" i="10"/>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27" i="10"/>
  <c r="B127" i="10"/>
  <c r="AC126" i="10"/>
  <c r="Q126" i="10"/>
  <c r="R126" i="10" s="1"/>
  <c r="S126" i="10" s="1"/>
  <c r="T126" i="10" s="1"/>
  <c r="U126" i="10" s="1"/>
  <c r="V126" i="10" s="1"/>
  <c r="W126" i="10" s="1"/>
  <c r="X126" i="10" s="1"/>
  <c r="Y126" i="10" s="1"/>
  <c r="Z126" i="10" s="1"/>
  <c r="AA126" i="10" s="1"/>
  <c r="AB126" i="10" s="1"/>
  <c r="P126" i="10"/>
  <c r="B126" i="10"/>
  <c r="C126" i="10" s="1"/>
  <c r="D126" i="10" s="1"/>
  <c r="E126" i="10" s="1"/>
  <c r="F126" i="10" s="1"/>
  <c r="G126" i="10" s="1"/>
  <c r="H126" i="10" s="1"/>
  <c r="I126" i="10" s="1"/>
  <c r="J126" i="10" s="1"/>
  <c r="K126" i="10" s="1"/>
  <c r="L126" i="10" s="1"/>
  <c r="M126" i="10" s="1"/>
  <c r="N126" i="10" s="1"/>
  <c r="O126" i="10" s="1"/>
  <c r="AC125" i="10"/>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C121" i="10" s="1"/>
  <c r="D121" i="10" s="1"/>
  <c r="E121" i="10" s="1"/>
  <c r="F121" i="10" s="1"/>
  <c r="G121" i="10" s="1"/>
  <c r="H121" i="10" s="1"/>
  <c r="I121" i="10" s="1"/>
  <c r="J121" i="10" s="1"/>
  <c r="K121" i="10" s="1"/>
  <c r="L121" i="10"/>
  <c r="M121" i="10" s="1"/>
  <c r="N121" i="10" s="1"/>
  <c r="O121" i="10" s="1"/>
  <c r="P121" i="10" s="1"/>
  <c r="Q121" i="10" s="1"/>
  <c r="R121" i="10" s="1"/>
  <c r="S121" i="10" s="1"/>
  <c r="T121" i="10" s="1"/>
  <c r="U121" i="10" s="1"/>
  <c r="V121" i="10" s="1"/>
  <c r="W121" i="10" s="1"/>
  <c r="X121" i="10" s="1"/>
  <c r="Y121" i="10" s="1"/>
  <c r="Z121" i="10" s="1"/>
  <c r="AA121" i="10" s="1"/>
  <c r="AB121" i="10" s="1"/>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L119" i="10"/>
  <c r="M119" i="10" s="1"/>
  <c r="N119" i="10" s="1"/>
  <c r="O119" i="10" s="1"/>
  <c r="P119" i="10" s="1"/>
  <c r="Q119" i="10" s="1"/>
  <c r="R119" i="10" s="1"/>
  <c r="S119" i="10" s="1"/>
  <c r="T119" i="10" s="1"/>
  <c r="U119" i="10" s="1"/>
  <c r="V119" i="10" s="1"/>
  <c r="W119" i="10" s="1"/>
  <c r="X119" i="10" s="1"/>
  <c r="Y119" i="10" s="1"/>
  <c r="Z119" i="10" s="1"/>
  <c r="AA119" i="10" s="1"/>
  <c r="AB119" i="10" s="1"/>
  <c r="K119" i="10"/>
  <c r="D119" i="10"/>
  <c r="E119" i="10" s="1"/>
  <c r="F119" i="10" s="1"/>
  <c r="G119" i="10" s="1"/>
  <c r="H119" i="10" s="1"/>
  <c r="I119" i="10" s="1"/>
  <c r="J119" i="10" s="1"/>
  <c r="C119" i="10"/>
  <c r="B119" i="10"/>
  <c r="AC118" i="10"/>
  <c r="G118" i="10"/>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C118" i="10"/>
  <c r="D118" i="10" s="1"/>
  <c r="E118" i="10" s="1"/>
  <c r="F118" i="10" s="1"/>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B116" i="10"/>
  <c r="AC115" i="10"/>
  <c r="C115" i="10" s="1"/>
  <c r="D115" i="10" s="1"/>
  <c r="E115" i="10"/>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B114" i="10"/>
  <c r="C114" i="10" s="1"/>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AC113" i="10"/>
  <c r="C113" i="10"/>
  <c r="B113" i="10"/>
  <c r="AC108"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B105" i="10"/>
  <c r="AC104" i="10"/>
  <c r="B104" i="10"/>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B102" i="10"/>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B100" i="10"/>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B97" i="10"/>
  <c r="AC96" i="10"/>
  <c r="E96" i="10"/>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D96" i="10"/>
  <c r="C96" i="10"/>
  <c r="B96" i="10"/>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C93" i="10" s="1"/>
  <c r="D93" i="10" s="1"/>
  <c r="E93" i="10" s="1"/>
  <c r="F93" i="10" s="1"/>
  <c r="G93" i="10" s="1"/>
  <c r="H93" i="10" s="1"/>
  <c r="I93" i="10" s="1"/>
  <c r="J93" i="10" s="1"/>
  <c r="K93" i="10" s="1"/>
  <c r="L93" i="10" s="1"/>
  <c r="M93" i="10" s="1"/>
  <c r="N93" i="10" s="1"/>
  <c r="O93" i="10"/>
  <c r="P93" i="10" s="1"/>
  <c r="Q93" i="10" s="1"/>
  <c r="R93" i="10" s="1"/>
  <c r="S93" i="10" s="1"/>
  <c r="T93" i="10" s="1"/>
  <c r="U93" i="10" s="1"/>
  <c r="V93" i="10" s="1"/>
  <c r="W93" i="10" s="1"/>
  <c r="X93" i="10" s="1"/>
  <c r="Y93" i="10" s="1"/>
  <c r="Z93" i="10" s="1"/>
  <c r="AA93" i="10" s="1"/>
  <c r="AB93" i="10" s="1"/>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AC90" i="10"/>
  <c r="C90" i="10" s="1"/>
  <c r="D90" i="10" s="1"/>
  <c r="E90" i="10"/>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AC85" i="10"/>
  <c r="H85" i="10"/>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G85" i="10"/>
  <c r="D85" i="10"/>
  <c r="E85" i="10" s="1"/>
  <c r="F85" i="10" s="1"/>
  <c r="B85" i="10"/>
  <c r="C85" i="10" s="1"/>
  <c r="AC84" i="10"/>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D82" i="10"/>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C82" i="10"/>
  <c r="B82" i="10"/>
  <c r="AC81" i="10"/>
  <c r="B81" i="10"/>
  <c r="AC80" i="10"/>
  <c r="P80" i="10"/>
  <c r="Q80" i="10" s="1"/>
  <c r="R80" i="10" s="1"/>
  <c r="S80" i="10" s="1"/>
  <c r="T80" i="10" s="1"/>
  <c r="U80" i="10" s="1"/>
  <c r="V80" i="10" s="1"/>
  <c r="W80" i="10" s="1"/>
  <c r="X80" i="10" s="1"/>
  <c r="Y80" i="10" s="1"/>
  <c r="Z80" i="10" s="1"/>
  <c r="AA80" i="10" s="1"/>
  <c r="AB80" i="10" s="1"/>
  <c r="C80" i="10"/>
  <c r="D80" i="10" s="1"/>
  <c r="E80" i="10" s="1"/>
  <c r="F80" i="10" s="1"/>
  <c r="G80" i="10" s="1"/>
  <c r="H80" i="10" s="1"/>
  <c r="I80" i="10" s="1"/>
  <c r="J80" i="10" s="1"/>
  <c r="K80" i="10" s="1"/>
  <c r="L80" i="10" s="1"/>
  <c r="M80" i="10" s="1"/>
  <c r="N80" i="10" s="1"/>
  <c r="O80" i="10" s="1"/>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B77" i="10"/>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Y75" i="10"/>
  <c r="Z75" i="10" s="1"/>
  <c r="AA75" i="10" s="1"/>
  <c r="AB75" i="10" s="1"/>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B75" i="10"/>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C70" i="10" s="1"/>
  <c r="D70" i="10" s="1"/>
  <c r="E70" i="10" s="1"/>
  <c r="F70" i="10"/>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B69" i="10"/>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C67" i="10" s="1"/>
  <c r="D67" i="10" s="1"/>
  <c r="E67" i="10" s="1"/>
  <c r="F67" i="10" s="1"/>
  <c r="G67" i="10" s="1"/>
  <c r="H67" i="10" s="1"/>
  <c r="I67" i="10" s="1"/>
  <c r="J67" i="10" s="1"/>
  <c r="K67" i="10"/>
  <c r="L67" i="10" s="1"/>
  <c r="M67" i="10" s="1"/>
  <c r="N67" i="10" s="1"/>
  <c r="O67" i="10" s="1"/>
  <c r="P67" i="10" s="1"/>
  <c r="Q67" i="10" s="1"/>
  <c r="R67" i="10" s="1"/>
  <c r="S67" i="10" s="1"/>
  <c r="T67" i="10" s="1"/>
  <c r="U67" i="10" s="1"/>
  <c r="V67" i="10" s="1"/>
  <c r="W67" i="10" s="1"/>
  <c r="X67" i="10" s="1"/>
  <c r="Y67" i="10" s="1"/>
  <c r="Z67" i="10" s="1"/>
  <c r="AA67" i="10" s="1"/>
  <c r="AB67" i="10" s="1"/>
  <c r="B67" i="10"/>
  <c r="AC66" i="10"/>
  <c r="B66" i="10"/>
  <c r="AC65" i="10"/>
  <c r="F65" i="10"/>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D65" i="10"/>
  <c r="E65" i="10" s="1"/>
  <c r="C65" i="10"/>
  <c r="B65" i="10"/>
  <c r="AC64"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C63" i="10" s="1"/>
  <c r="D63" i="10" s="1"/>
  <c r="E63" i="10" s="1"/>
  <c r="F63" i="10" s="1"/>
  <c r="G63" i="10" s="1"/>
  <c r="H63" i="10" s="1"/>
  <c r="I63" i="10" s="1"/>
  <c r="J63" i="10" s="1"/>
  <c r="K63" i="10" s="1"/>
  <c r="L63" i="10" s="1"/>
  <c r="M63" i="10" s="1"/>
  <c r="N63" i="10" s="1"/>
  <c r="O63" i="10"/>
  <c r="P63" i="10" s="1"/>
  <c r="Q63" i="10" s="1"/>
  <c r="R63" i="10" s="1"/>
  <c r="S63" i="10" s="1"/>
  <c r="T63" i="10" s="1"/>
  <c r="U63" i="10" s="1"/>
  <c r="V63" i="10" s="1"/>
  <c r="W63" i="10" s="1"/>
  <c r="X63" i="10" s="1"/>
  <c r="Y63" i="10" s="1"/>
  <c r="Z63" i="10" s="1"/>
  <c r="AA63" i="10" s="1"/>
  <c r="AB63" i="10" s="1"/>
  <c r="B63" i="10"/>
  <c r="AC62" i="10"/>
  <c r="E62" i="10"/>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C62" i="10" s="1"/>
  <c r="D62" i="10" s="1"/>
  <c r="AC61" i="10"/>
  <c r="B61" i="10"/>
  <c r="C61" i="10" s="1"/>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C55" i="10" s="1"/>
  <c r="D55" i="10" s="1"/>
  <c r="E55" i="10"/>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c r="Y52" i="10" s="1"/>
  <c r="Z52" i="10" s="1"/>
  <c r="AA52" i="10" s="1"/>
  <c r="AB52" i="10" s="1"/>
  <c r="B52" i="10"/>
  <c r="AC51" i="10"/>
  <c r="C51" i="10" s="1"/>
  <c r="D51" i="10" s="1"/>
  <c r="E51" i="10" s="1"/>
  <c r="F51" i="10" s="1"/>
  <c r="G51" i="10" s="1"/>
  <c r="H51" i="10" s="1"/>
  <c r="I51" i="10" s="1"/>
  <c r="J51" i="10" s="1"/>
  <c r="K51" i="10"/>
  <c r="L51" i="10" s="1"/>
  <c r="M51" i="10" s="1"/>
  <c r="N51" i="10" s="1"/>
  <c r="O51" i="10" s="1"/>
  <c r="P51" i="10" s="1"/>
  <c r="Q51" i="10" s="1"/>
  <c r="R51" i="10" s="1"/>
  <c r="S51" i="10" s="1"/>
  <c r="T51" i="10" s="1"/>
  <c r="U51" i="10" s="1"/>
  <c r="V51" i="10" s="1"/>
  <c r="W51" i="10" s="1"/>
  <c r="X51" i="10" s="1"/>
  <c r="Y51" i="10" s="1"/>
  <c r="Z51" i="10" s="1"/>
  <c r="AA51" i="10" s="1"/>
  <c r="AB51" i="10" s="1"/>
  <c r="B51" i="10"/>
  <c r="AC50" i="10"/>
  <c r="Y50" i="10"/>
  <c r="Z50" i="10" s="1"/>
  <c r="AA50" i="10" s="1"/>
  <c r="AB50" i="10" s="1"/>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AC49"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C48" i="10" s="1"/>
  <c r="D48" i="10"/>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C47" i="10" s="1"/>
  <c r="D47" i="10" s="1"/>
  <c r="E47" i="10" s="1"/>
  <c r="F47" i="10" s="1"/>
  <c r="G47" i="10" s="1"/>
  <c r="H47" i="10"/>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V45" i="10"/>
  <c r="W45" i="10" s="1"/>
  <c r="X45" i="10" s="1"/>
  <c r="Y45" i="10" s="1"/>
  <c r="Z45" i="10" s="1"/>
  <c r="AA45" i="10" s="1"/>
  <c r="AB45" i="10" s="1"/>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C40" i="10" s="1"/>
  <c r="D40" i="10" s="1"/>
  <c r="E40" i="10" s="1"/>
  <c r="F40" i="10" s="1"/>
  <c r="G40" i="10" s="1"/>
  <c r="H40" i="10"/>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E39" i="10"/>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C39" i="10" s="1"/>
  <c r="D39" i="10" s="1"/>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AC33" i="10"/>
  <c r="E33" i="10"/>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D33" i="10"/>
  <c r="C33" i="10"/>
  <c r="B33" i="10"/>
  <c r="AC32" i="10"/>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D26" i="10"/>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C26" i="10"/>
  <c r="B26" i="10"/>
  <c r="AC25" i="10"/>
  <c r="D25" i="10"/>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C25" i="10"/>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AC17" i="10"/>
  <c r="C17" i="10" s="1"/>
  <c r="D17" i="10" s="1"/>
  <c r="E17" i="10" s="1"/>
  <c r="F17" i="10" s="1"/>
  <c r="G17" i="10" s="1"/>
  <c r="H17" i="10" s="1"/>
  <c r="I17" i="10"/>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B16" i="10"/>
  <c r="B57" i="10" s="1"/>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N14" i="10"/>
  <c r="O14" i="10" s="1"/>
  <c r="P14" i="10" s="1"/>
  <c r="Q14" i="10" s="1"/>
  <c r="R14" i="10" s="1"/>
  <c r="S14" i="10" s="1"/>
  <c r="T14" i="10" s="1"/>
  <c r="U14" i="10" s="1"/>
  <c r="V14" i="10" s="1"/>
  <c r="W14" i="10" s="1"/>
  <c r="X14" i="10" s="1"/>
  <c r="Y14" i="10" s="1"/>
  <c r="Z14" i="10" s="1"/>
  <c r="AA14" i="10" s="1"/>
  <c r="AB14" i="10" s="1"/>
  <c r="B14" i="10"/>
  <c r="C14" i="10" s="1"/>
  <c r="D14" i="10" s="1"/>
  <c r="E14" i="10" s="1"/>
  <c r="F14" i="10" s="1"/>
  <c r="G14" i="10" s="1"/>
  <c r="H14" i="10" s="1"/>
  <c r="I14" i="10" s="1"/>
  <c r="J14" i="10" s="1"/>
  <c r="K14" i="10" s="1"/>
  <c r="L14" i="10" s="1"/>
  <c r="M14" i="10" s="1"/>
  <c r="AC13" i="10"/>
  <c r="C13" i="10" s="1"/>
  <c r="B13" i="10"/>
  <c r="AC12" i="10"/>
  <c r="E12" i="10"/>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D12" i="10"/>
  <c r="B12" i="10"/>
  <c r="C12" i="10" s="1"/>
  <c r="AC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C10" i="10" s="1"/>
  <c r="D10" i="10" s="1"/>
  <c r="E10" i="10" s="1"/>
  <c r="F10" i="10" s="1"/>
  <c r="G10" i="10" s="1"/>
  <c r="H10" i="10" s="1"/>
  <c r="I10" i="10" s="1"/>
  <c r="J10" i="10" s="1"/>
  <c r="K10" i="10" s="1"/>
  <c r="L10" i="10" s="1"/>
  <c r="M10" i="10" s="1"/>
  <c r="N10" i="10" s="1"/>
  <c r="O10" i="10" s="1"/>
  <c r="P10" i="10" s="1"/>
  <c r="Q10" i="10"/>
  <c r="R10" i="10" s="1"/>
  <c r="S10" i="10" s="1"/>
  <c r="T10" i="10" s="1"/>
  <c r="U10" i="10" s="1"/>
  <c r="V10" i="10" s="1"/>
  <c r="W10" i="10" s="1"/>
  <c r="X10" i="10" s="1"/>
  <c r="Y10" i="10" s="1"/>
  <c r="Z10" i="10" s="1"/>
  <c r="AA10" i="10" s="1"/>
  <c r="AB10" i="10" s="1"/>
  <c r="B10" i="10"/>
  <c r="AC9" i="10"/>
  <c r="B9" i="10"/>
  <c r="C9" i="10" s="1"/>
  <c r="D9" i="10" s="1"/>
  <c r="B4" i="10"/>
  <c r="C9" i="9"/>
  <c r="B9" i="9"/>
  <c r="D9" i="9" s="1"/>
  <c r="A9" i="9"/>
  <c r="B1" i="9"/>
  <c r="F54" i="7"/>
  <c r="G54" i="7" s="1"/>
  <c r="E54" i="7"/>
  <c r="H54" i="7" s="1"/>
  <c r="D54" i="7"/>
  <c r="C54" i="7"/>
  <c r="F53" i="7"/>
  <c r="E53" i="7"/>
  <c r="D53" i="7"/>
  <c r="C53" i="7"/>
  <c r="H52" i="7"/>
  <c r="F52" i="7"/>
  <c r="E52" i="7"/>
  <c r="D52" i="7"/>
  <c r="G52" i="7" s="1"/>
  <c r="C52" i="7"/>
  <c r="F51" i="7"/>
  <c r="E51" i="7"/>
  <c r="D51" i="7"/>
  <c r="H51" i="7" s="1"/>
  <c r="C51" i="7"/>
  <c r="F50" i="7"/>
  <c r="G50" i="7" s="1"/>
  <c r="E50" i="7"/>
  <c r="H50" i="7" s="1"/>
  <c r="D50" i="7"/>
  <c r="C50" i="7"/>
  <c r="H49" i="7"/>
  <c r="F49" i="7"/>
  <c r="E49" i="7"/>
  <c r="D49" i="7"/>
  <c r="G49" i="7" s="1"/>
  <c r="C49" i="7"/>
  <c r="F48" i="7"/>
  <c r="H48" i="7" s="1"/>
  <c r="E48" i="7"/>
  <c r="D48" i="7"/>
  <c r="C48" i="7"/>
  <c r="F47" i="7"/>
  <c r="E47" i="7"/>
  <c r="D47" i="7"/>
  <c r="H47" i="7" s="1"/>
  <c r="C47" i="7"/>
  <c r="G47" i="7" s="1"/>
  <c r="F46" i="7"/>
  <c r="H46" i="7" s="1"/>
  <c r="E46" i="7"/>
  <c r="D46" i="7"/>
  <c r="C46" i="7"/>
  <c r="F45" i="7"/>
  <c r="E45" i="7"/>
  <c r="D45" i="7"/>
  <c r="C45" i="7"/>
  <c r="F44" i="7"/>
  <c r="E44" i="7"/>
  <c r="D44" i="7"/>
  <c r="C44" i="7"/>
  <c r="F43" i="7"/>
  <c r="E43" i="7"/>
  <c r="D43" i="7"/>
  <c r="H43" i="7" s="1"/>
  <c r="C43" i="7"/>
  <c r="H42" i="7"/>
  <c r="G42" i="7"/>
  <c r="F42" i="7"/>
  <c r="E42" i="7"/>
  <c r="D42" i="7"/>
  <c r="C42" i="7"/>
  <c r="F41" i="7"/>
  <c r="E41" i="7"/>
  <c r="D41" i="7"/>
  <c r="C41" i="7"/>
  <c r="F40" i="7"/>
  <c r="E40" i="7"/>
  <c r="D40" i="7"/>
  <c r="C40" i="7"/>
  <c r="H39" i="7"/>
  <c r="F39" i="7"/>
  <c r="E39" i="7"/>
  <c r="D39" i="7"/>
  <c r="G39" i="7" s="1"/>
  <c r="C39" i="7"/>
  <c r="H38" i="7"/>
  <c r="F38" i="7"/>
  <c r="E38" i="7"/>
  <c r="D38" i="7"/>
  <c r="G38" i="7" s="1"/>
  <c r="C38" i="7"/>
  <c r="F37" i="7"/>
  <c r="E37" i="7"/>
  <c r="D37" i="7"/>
  <c r="C37" i="7"/>
  <c r="H37" i="7" s="1"/>
  <c r="F36" i="7"/>
  <c r="E36" i="7"/>
  <c r="D36" i="7"/>
  <c r="C36" i="7"/>
  <c r="H35" i="7"/>
  <c r="F35" i="7"/>
  <c r="E35" i="7"/>
  <c r="D35" i="7"/>
  <c r="G35" i="7" s="1"/>
  <c r="C35" i="7"/>
  <c r="F34" i="7"/>
  <c r="E34" i="7"/>
  <c r="D34" i="7"/>
  <c r="C34" i="7"/>
  <c r="F33" i="7"/>
  <c r="E33" i="7"/>
  <c r="D33" i="7"/>
  <c r="H33" i="7" s="1"/>
  <c r="C33" i="7"/>
  <c r="F32" i="7"/>
  <c r="E32" i="7"/>
  <c r="D32" i="7"/>
  <c r="C32" i="7"/>
  <c r="H31" i="7"/>
  <c r="G31" i="7"/>
  <c r="F31" i="7"/>
  <c r="E31" i="7"/>
  <c r="D31" i="7"/>
  <c r="C31" i="7"/>
  <c r="F30" i="7"/>
  <c r="E30" i="7"/>
  <c r="D30" i="7"/>
  <c r="C30" i="7"/>
  <c r="F29" i="7"/>
  <c r="E29" i="7"/>
  <c r="D29" i="7"/>
  <c r="C29" i="7"/>
  <c r="H28" i="7"/>
  <c r="F28" i="7"/>
  <c r="E28" i="7"/>
  <c r="D28" i="7"/>
  <c r="G28" i="7" s="1"/>
  <c r="C28" i="7"/>
  <c r="H27" i="7"/>
  <c r="F27" i="7"/>
  <c r="G27" i="7" s="1"/>
  <c r="E27" i="7"/>
  <c r="D27" i="7"/>
  <c r="C27" i="7"/>
  <c r="F26" i="7"/>
  <c r="E26" i="7"/>
  <c r="D26" i="7"/>
  <c r="C26" i="7"/>
  <c r="F25" i="7"/>
  <c r="E25" i="7"/>
  <c r="D25" i="7"/>
  <c r="H25" i="7" s="1"/>
  <c r="C25" i="7"/>
  <c r="F24" i="7"/>
  <c r="E24" i="7"/>
  <c r="D24" i="7"/>
  <c r="C24" i="7"/>
  <c r="H23" i="7"/>
  <c r="F23" i="7"/>
  <c r="E23" i="7"/>
  <c r="D23" i="7"/>
  <c r="G23" i="7" s="1"/>
  <c r="C23" i="7"/>
  <c r="F22" i="7"/>
  <c r="E22" i="7"/>
  <c r="D22" i="7"/>
  <c r="C22" i="7"/>
  <c r="F21" i="7"/>
  <c r="E21" i="7"/>
  <c r="D21" i="7"/>
  <c r="G21" i="7" s="1"/>
  <c r="C21" i="7"/>
  <c r="F20" i="7"/>
  <c r="E20" i="7"/>
  <c r="D20" i="7"/>
  <c r="G20" i="7" s="1"/>
  <c r="C20" i="7"/>
  <c r="F19" i="7"/>
  <c r="E19" i="7"/>
  <c r="D19" i="7"/>
  <c r="H19" i="7" s="1"/>
  <c r="C19" i="7"/>
  <c r="F18" i="7"/>
  <c r="E18" i="7"/>
  <c r="D18" i="7"/>
  <c r="C18" i="7"/>
  <c r="F17" i="7"/>
  <c r="E17" i="7"/>
  <c r="D17" i="7"/>
  <c r="H17" i="7" s="1"/>
  <c r="C17" i="7"/>
  <c r="F16" i="7"/>
  <c r="E16" i="7"/>
  <c r="D16" i="7"/>
  <c r="H16" i="7" s="1"/>
  <c r="C16" i="7"/>
  <c r="F15" i="7"/>
  <c r="E15" i="7"/>
  <c r="D15" i="7"/>
  <c r="C15" i="7"/>
  <c r="H14" i="7"/>
  <c r="F14" i="7"/>
  <c r="E14" i="7"/>
  <c r="D14" i="7"/>
  <c r="G14" i="7" s="1"/>
  <c r="C14" i="7"/>
  <c r="H13" i="7"/>
  <c r="F13" i="7"/>
  <c r="E13" i="7"/>
  <c r="D13" i="7"/>
  <c r="G13" i="7" s="1"/>
  <c r="C13" i="7"/>
  <c r="H12" i="7"/>
  <c r="F12" i="7"/>
  <c r="G12" i="7" s="1"/>
  <c r="E12" i="7"/>
  <c r="D12" i="7"/>
  <c r="C12" i="7"/>
  <c r="F11" i="7"/>
  <c r="E11" i="7"/>
  <c r="D11" i="7"/>
  <c r="C11" i="7"/>
  <c r="H10" i="7"/>
  <c r="F10" i="7"/>
  <c r="E10" i="7"/>
  <c r="D10" i="7"/>
  <c r="G10" i="7" s="1"/>
  <c r="C10" i="7"/>
  <c r="H9" i="7"/>
  <c r="F9" i="7"/>
  <c r="E9" i="7"/>
  <c r="D9" i="7"/>
  <c r="G9" i="7" s="1"/>
  <c r="C9" i="7"/>
  <c r="H8" i="7"/>
  <c r="G8" i="7"/>
  <c r="F8" i="7"/>
  <c r="E8" i="7"/>
  <c r="D8" i="7"/>
  <c r="C8" i="7"/>
  <c r="F7" i="7"/>
  <c r="E7" i="7"/>
  <c r="D7" i="7"/>
  <c r="C7" i="7"/>
  <c r="B2" i="1"/>
  <c r="D13" i="10" l="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D61" i="10"/>
  <c r="H36" i="7"/>
  <c r="G36" i="7"/>
  <c r="H40" i="7"/>
  <c r="G40" i="7"/>
  <c r="H15" i="7"/>
  <c r="G15" i="7"/>
  <c r="B5" i="10"/>
  <c r="B2" i="9"/>
  <c r="G44" i="7"/>
  <c r="H44" i="7"/>
  <c r="G24" i="7"/>
  <c r="G11" i="7"/>
  <c r="H11" i="7"/>
  <c r="H7" i="7"/>
  <c r="G7" i="7"/>
  <c r="G48" i="7"/>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E9" i="9"/>
  <c r="F9" i="9"/>
  <c r="H32" i="7"/>
  <c r="G32" i="7"/>
  <c r="H24" i="7"/>
  <c r="H20" i="7"/>
  <c r="G46" i="7"/>
  <c r="H26" i="7"/>
  <c r="G26" i="7"/>
  <c r="G9" i="9"/>
  <c r="H41" i="7"/>
  <c r="G41" i="7"/>
  <c r="H29" i="7"/>
  <c r="G37" i="7"/>
  <c r="G25" i="7"/>
  <c r="H34" i="7"/>
  <c r="G17" i="7"/>
  <c r="H21" i="7"/>
  <c r="G30" i="7"/>
  <c r="H30" i="7"/>
  <c r="D113"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61" i="10"/>
  <c r="G16" i="7"/>
  <c r="B109" i="10"/>
  <c r="G22" i="7"/>
  <c r="H22" i="7"/>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G29" i="7"/>
  <c r="G45" i="7"/>
  <c r="H45" i="7"/>
  <c r="H18" i="7"/>
  <c r="E9" i="10"/>
  <c r="G43" i="7"/>
  <c r="G51" i="7"/>
  <c r="G33" i="7"/>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G18" i="7"/>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H53" i="7"/>
  <c r="G53" i="7"/>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G34" i="7"/>
  <c r="G19" i="7"/>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C73" i="10"/>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C167" i="10"/>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161" i="10" l="1"/>
  <c r="D161" i="10"/>
  <c r="E113" i="10"/>
  <c r="F9" i="10"/>
  <c r="E57" i="10"/>
  <c r="O5" i="9"/>
  <c r="AB5" i="9"/>
  <c r="E5" i="9"/>
  <c r="AA5" i="9"/>
  <c r="D5" i="9"/>
  <c r="R5" i="9"/>
  <c r="U5" i="9"/>
  <c r="T5" i="9"/>
  <c r="Q5" i="9"/>
  <c r="S5" i="9"/>
  <c r="P5" i="9"/>
  <c r="N5" i="9"/>
  <c r="M5" i="9"/>
  <c r="H5" i="9"/>
  <c r="F5" i="9"/>
  <c r="G5" i="9"/>
  <c r="X5" i="9"/>
  <c r="C5" i="9"/>
  <c r="B5" i="9"/>
  <c r="V5" i="9"/>
  <c r="Z5" i="9"/>
  <c r="Y5" i="9"/>
  <c r="W5" i="9"/>
  <c r="L5" i="9"/>
  <c r="J5" i="9"/>
  <c r="I5" i="9"/>
  <c r="K5" i="9"/>
  <c r="D57" i="10"/>
  <c r="D109" i="10"/>
  <c r="E61" i="10"/>
  <c r="I9" i="9"/>
  <c r="H9" i="9"/>
  <c r="C109" i="10"/>
  <c r="C57" i="10"/>
  <c r="E171" i="10" l="1"/>
  <c r="E2" i="11" s="1"/>
  <c r="F57" i="10"/>
  <c r="G9" i="10"/>
  <c r="F171" i="10"/>
  <c r="F2" i="11" s="1"/>
  <c r="D172" i="10"/>
  <c r="D2" i="12" s="1"/>
  <c r="D171" i="10"/>
  <c r="D2" i="11" s="1"/>
  <c r="D173" i="10"/>
  <c r="D2" i="13" s="1"/>
  <c r="B173" i="10"/>
  <c r="B2" i="13" s="1"/>
  <c r="B171" i="10"/>
  <c r="B2" i="11" s="1"/>
  <c r="B172" i="10"/>
  <c r="B2" i="12" s="1"/>
  <c r="E109" i="10"/>
  <c r="E172" i="10" s="1"/>
  <c r="E2" i="12" s="1"/>
  <c r="F61" i="10"/>
  <c r="E161" i="10"/>
  <c r="E173" i="10" s="1"/>
  <c r="E2" i="13" s="1"/>
  <c r="F113" i="10"/>
  <c r="C172" i="10"/>
  <c r="C2" i="12" s="1"/>
  <c r="C173" i="10"/>
  <c r="C2" i="13" s="1"/>
  <c r="C171" i="10"/>
  <c r="C2" i="11" s="1"/>
  <c r="G61" i="10" l="1"/>
  <c r="F109" i="10"/>
  <c r="F172" i="10" s="1"/>
  <c r="F2" i="12" s="1"/>
  <c r="G57" i="10"/>
  <c r="G171" i="10" s="1"/>
  <c r="G2" i="11" s="1"/>
  <c r="H9" i="10"/>
  <c r="F161" i="10"/>
  <c r="F173" i="10" s="1"/>
  <c r="F2" i="13" s="1"/>
  <c r="G113" i="10"/>
  <c r="H61" i="10" l="1"/>
  <c r="G109" i="10"/>
  <c r="G172" i="10" s="1"/>
  <c r="G2" i="12" s="1"/>
  <c r="G161" i="10"/>
  <c r="G173" i="10" s="1"/>
  <c r="G2" i="13" s="1"/>
  <c r="H113" i="10"/>
  <c r="I9" i="10"/>
  <c r="H57" i="10"/>
  <c r="H171" i="10" s="1"/>
  <c r="H2" i="11" s="1"/>
  <c r="H109" i="10" l="1"/>
  <c r="H172" i="10" s="1"/>
  <c r="H2" i="12" s="1"/>
  <c r="I61" i="10"/>
  <c r="J9" i="10"/>
  <c r="I57" i="10"/>
  <c r="I171" i="10" s="1"/>
  <c r="I2" i="11" s="1"/>
  <c r="I113" i="10"/>
  <c r="H161" i="10"/>
  <c r="H173" i="10" s="1"/>
  <c r="H2" i="13" s="1"/>
  <c r="J113" i="10" l="1"/>
  <c r="I161" i="10"/>
  <c r="I173" i="10" s="1"/>
  <c r="I2" i="13" s="1"/>
  <c r="J57" i="10"/>
  <c r="J171" i="10" s="1"/>
  <c r="J2" i="11" s="1"/>
  <c r="K9" i="10"/>
  <c r="I109" i="10"/>
  <c r="I172" i="10" s="1"/>
  <c r="I2" i="12" s="1"/>
  <c r="J61" i="10"/>
  <c r="J161" i="10" l="1"/>
  <c r="J173" i="10" s="1"/>
  <c r="J2" i="13" s="1"/>
  <c r="K113" i="10"/>
  <c r="J109" i="10"/>
  <c r="J172" i="10" s="1"/>
  <c r="J2" i="12" s="1"/>
  <c r="K61" i="10"/>
  <c r="L9" i="10"/>
  <c r="K57" i="10"/>
  <c r="K171" i="10" s="1"/>
  <c r="K2" i="11" s="1"/>
  <c r="L57" i="10" l="1"/>
  <c r="L171" i="10" s="1"/>
  <c r="L2" i="11" s="1"/>
  <c r="M9" i="10"/>
  <c r="K109" i="10"/>
  <c r="K172" i="10" s="1"/>
  <c r="K2" i="12" s="1"/>
  <c r="L61" i="10"/>
  <c r="K161" i="10"/>
  <c r="K173" i="10" s="1"/>
  <c r="K2" i="13" s="1"/>
  <c r="L113" i="10"/>
  <c r="L161" i="10" l="1"/>
  <c r="L173" i="10" s="1"/>
  <c r="L2" i="13" s="1"/>
  <c r="M113" i="10"/>
  <c r="M61" i="10"/>
  <c r="L109" i="10"/>
  <c r="L172" i="10" s="1"/>
  <c r="L2" i="12" s="1"/>
  <c r="M57" i="10"/>
  <c r="M171" i="10" s="1"/>
  <c r="M2" i="11" s="1"/>
  <c r="N9" i="10"/>
  <c r="N57" i="10" l="1"/>
  <c r="N171" i="10" s="1"/>
  <c r="N2" i="11" s="1"/>
  <c r="O9" i="10"/>
  <c r="N61" i="10"/>
  <c r="M109" i="10"/>
  <c r="M172" i="10" s="1"/>
  <c r="M2" i="12" s="1"/>
  <c r="M161" i="10"/>
  <c r="M173" i="10" s="1"/>
  <c r="M2" i="13" s="1"/>
  <c r="N113" i="10"/>
  <c r="O57" i="10" l="1"/>
  <c r="O171" i="10" s="1"/>
  <c r="O2" i="11" s="1"/>
  <c r="P9" i="10"/>
  <c r="N161" i="10"/>
  <c r="N173" i="10" s="1"/>
  <c r="N2" i="13" s="1"/>
  <c r="O113" i="10"/>
  <c r="N109" i="10"/>
  <c r="N172" i="10" s="1"/>
  <c r="N2" i="12" s="1"/>
  <c r="O61" i="10"/>
  <c r="P57" i="10" l="1"/>
  <c r="P171" i="10" s="1"/>
  <c r="P2" i="11" s="1"/>
  <c r="Q9" i="10"/>
  <c r="P113" i="10"/>
  <c r="O161" i="10"/>
  <c r="O173" i="10" s="1"/>
  <c r="O2" i="13" s="1"/>
  <c r="O109" i="10"/>
  <c r="O172" i="10" s="1"/>
  <c r="O2" i="12" s="1"/>
  <c r="P61" i="10"/>
  <c r="P109" i="10" l="1"/>
  <c r="P172" i="10" s="1"/>
  <c r="P2" i="12" s="1"/>
  <c r="Q61" i="10"/>
  <c r="Q113" i="10"/>
  <c r="P161" i="10"/>
  <c r="P173" i="10" s="1"/>
  <c r="P2" i="13" s="1"/>
  <c r="Q57" i="10"/>
  <c r="Q171" i="10" s="1"/>
  <c r="Q2" i="11" s="1"/>
  <c r="R9" i="10"/>
  <c r="R57" i="10" l="1"/>
  <c r="R171" i="10" s="1"/>
  <c r="R2" i="11" s="1"/>
  <c r="S9" i="10"/>
  <c r="R113" i="10"/>
  <c r="Q161" i="10"/>
  <c r="Q173" i="10" s="1"/>
  <c r="Q2" i="13" s="1"/>
  <c r="Q109" i="10"/>
  <c r="Q172" i="10" s="1"/>
  <c r="Q2" i="12" s="1"/>
  <c r="R61" i="10"/>
  <c r="R109" i="10" l="1"/>
  <c r="R172" i="10" s="1"/>
  <c r="R2" i="12" s="1"/>
  <c r="S61" i="10"/>
  <c r="S113" i="10"/>
  <c r="R161" i="10"/>
  <c r="R173" i="10" s="1"/>
  <c r="R2" i="13" s="1"/>
  <c r="S57" i="10"/>
  <c r="S171" i="10" s="1"/>
  <c r="S2" i="11" s="1"/>
  <c r="T9" i="10"/>
  <c r="S161" i="10" l="1"/>
  <c r="S173" i="10" s="1"/>
  <c r="S2" i="13" s="1"/>
  <c r="T113" i="10"/>
  <c r="U9" i="10"/>
  <c r="T57" i="10"/>
  <c r="T171" i="10" s="1"/>
  <c r="T2" i="11" s="1"/>
  <c r="T61" i="10"/>
  <c r="S109" i="10"/>
  <c r="S172" i="10" s="1"/>
  <c r="S2" i="12" s="1"/>
  <c r="U61" i="10" l="1"/>
  <c r="T109" i="10"/>
  <c r="T172" i="10" s="1"/>
  <c r="T2" i="12" s="1"/>
  <c r="U57" i="10"/>
  <c r="U171" i="10" s="1"/>
  <c r="U2" i="11" s="1"/>
  <c r="V9" i="10"/>
  <c r="T161" i="10"/>
  <c r="T173" i="10" s="1"/>
  <c r="T2" i="13" s="1"/>
  <c r="U113" i="10"/>
  <c r="V57" i="10" l="1"/>
  <c r="V171" i="10" s="1"/>
  <c r="V2" i="11" s="1"/>
  <c r="W9" i="10"/>
  <c r="U161" i="10"/>
  <c r="U173" i="10" s="1"/>
  <c r="U2" i="13" s="1"/>
  <c r="V113" i="10"/>
  <c r="V61" i="10"/>
  <c r="U109" i="10"/>
  <c r="U172" i="10" s="1"/>
  <c r="U2" i="12" s="1"/>
  <c r="W113" i="10" l="1"/>
  <c r="V161" i="10"/>
  <c r="V173" i="10" s="1"/>
  <c r="V2" i="13" s="1"/>
  <c r="W61" i="10"/>
  <c r="V109" i="10"/>
  <c r="V172" i="10" s="1"/>
  <c r="V2" i="12" s="1"/>
  <c r="X9" i="10"/>
  <c r="W57" i="10"/>
  <c r="W171" i="10" s="1"/>
  <c r="W2" i="11" s="1"/>
  <c r="X113" i="10" l="1"/>
  <c r="W161" i="10"/>
  <c r="W173" i="10" s="1"/>
  <c r="W2" i="13" s="1"/>
  <c r="X57" i="10"/>
  <c r="X171" i="10" s="1"/>
  <c r="X2" i="11" s="1"/>
  <c r="Y9" i="10"/>
  <c r="W109" i="10"/>
  <c r="W172" i="10" s="1"/>
  <c r="W2" i="12" s="1"/>
  <c r="X61" i="10"/>
  <c r="Y113" i="10" l="1"/>
  <c r="X161" i="10"/>
  <c r="X173" i="10" s="1"/>
  <c r="X2" i="13" s="1"/>
  <c r="X109" i="10"/>
  <c r="X172" i="10" s="1"/>
  <c r="X2" i="12" s="1"/>
  <c r="Y61" i="10"/>
  <c r="Z9" i="10"/>
  <c r="Y57" i="10"/>
  <c r="Y171" i="10" s="1"/>
  <c r="Y2" i="11" s="1"/>
  <c r="AA9" i="10" l="1"/>
  <c r="Z57" i="10"/>
  <c r="Z171" i="10" s="1"/>
  <c r="Z2" i="11" s="1"/>
  <c r="Y109" i="10"/>
  <c r="Y172" i="10" s="1"/>
  <c r="Y2" i="12" s="1"/>
  <c r="Z61" i="10"/>
  <c r="Z113" i="10"/>
  <c r="Y161" i="10"/>
  <c r="Y173" i="10" s="1"/>
  <c r="Y2" i="13" s="1"/>
  <c r="AA113" i="10" l="1"/>
  <c r="Z161" i="10"/>
  <c r="Z173" i="10" s="1"/>
  <c r="Z2" i="13" s="1"/>
  <c r="Z109" i="10"/>
  <c r="Z172" i="10" s="1"/>
  <c r="Z2" i="12" s="1"/>
  <c r="AA61" i="10"/>
  <c r="AA57" i="10"/>
  <c r="AA171" i="10" s="1"/>
  <c r="AA2" i="11" s="1"/>
  <c r="AB9" i="10"/>
  <c r="AB57" i="10" s="1"/>
  <c r="AB171" i="10" s="1"/>
  <c r="AB2" i="11" s="1"/>
  <c r="AA161" i="10" l="1"/>
  <c r="AA173" i="10" s="1"/>
  <c r="AA2" i="13" s="1"/>
  <c r="AB113" i="10"/>
  <c r="AB161" i="10" s="1"/>
  <c r="AB173" i="10" s="1"/>
  <c r="AB2" i="13" s="1"/>
  <c r="AA109" i="10"/>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<sst xmlns="http://schemas.openxmlformats.org/spreadsheetml/2006/main" count="725" uniqueCount="267">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</sst>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74</v>
      </c>
      <c r="C1" s="11">
        <v>46266</v>
      </c>
      <c r="F1" s="1" t="s">
        <v>2</v>
      </c>
      <c r="G1" s="1" t="s">
        <v>3</v>
      </c>
    </row>
    <row r="2" spans="1:7" x14ac:dyDescent="0.45">
      <c r="A2" s="1" t="s">
        <v>4</v>
      </c>
      <c r="B2" t="str">
        <f>INDEX($G$2:$G$49,MATCH($B$1,$F$2:$F$49,0))</f>
        <v>NV</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Nevada</v>
      </c>
    </row>
    <row r="2" spans="1:28" x14ac:dyDescent="0.45">
      <c r="B2" t="str">
        <f>About!B2</f>
        <v>NV</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Nevada</v>
      </c>
    </row>
    <row r="5" spans="1:29" x14ac:dyDescent="0.45">
      <c r="A5" t="s">
        <v>246</v>
      </c>
      <c r="B5" t="str">
        <f>About!$B$2</f>
        <v>NV</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4007041.1909671579</v>
      </c>
      <c r="C171">
        <f>IF('State Calculations'!C$5&lt;&gt;"",B171*(1+'State Calculations'!C$5),IFERROR(INDEX(C9:C56,MATCH($B$5,$A9:$A56,0))/C57*C165,0))</f>
        <v>4611746.804847029</v>
      </c>
      <c r="D171">
        <f>IF('State Calculations'!D$5&lt;&gt;"",C171*(1+'State Calculations'!D$5),IFERROR(INDEX(D9:D56,MATCH($B$5,$A9:$A56,0))/D57*D165,0))</f>
        <v>5289482.1346085444</v>
      </c>
      <c r="E171">
        <f>IF('State Calculations'!E$5&lt;&gt;"",D171*(1+'State Calculations'!E$5),IFERROR(INDEX(E9:E56,MATCH($B$5,$A9:$A56,0))/E57*E165,0))</f>
        <v>6041850.7955760164</v>
      </c>
      <c r="F171">
        <f>IF('State Calculations'!F$5&lt;&gt;"",E171*(1+'State Calculations'!F$5),IFERROR(INDEX(F9:F56,MATCH($B$5,$A9:$A56,0))/F57*F165,0))</f>
        <v>6865727.6461638063</v>
      </c>
      <c r="G171">
        <f>IF('State Calculations'!G$5&lt;&gt;"",F171*(1+'State Calculations'!G$5),IFERROR(INDEX(G9:G56,MATCH($B$5,$A9:$A56,0))/G57*G165,0))</f>
        <v>7749192.3907015994</v>
      </c>
      <c r="H171">
        <f>IF('State Calculations'!H$5&lt;&gt;"",G171*(1+'State Calculations'!H$5),IFERROR(INDEX(H9:H56,MATCH($B$5,$A9:$A56,0))/H57*H165,0))</f>
        <v>8664323.5624698978</v>
      </c>
      <c r="I171">
        <f>IF('State Calculations'!I$5&lt;&gt;"",H171*(1+'State Calculations'!I$5),IFERROR(INDEX(I9:I56,MATCH($B$5,$A9:$A56,0))/I57*I165,0))</f>
        <v>8888459.5517695025</v>
      </c>
      <c r="J171">
        <f>IF('State Calculations'!J$5&lt;&gt;"",I171*(1+'State Calculations'!J$5),IFERROR(INDEX(J9:J56,MATCH($B$5,$A9:$A56,0))/J57*J165,0))</f>
        <v>9104691.0627365354</v>
      </c>
      <c r="K171">
        <f>IF('State Calculations'!K$5&lt;&gt;"",J171*(1+'State Calculations'!K$5),IFERROR(INDEX(K9:K56,MATCH($B$5,$A9:$A56,0))/K57*K165,0))</f>
        <v>9309852.4212300666</v>
      </c>
      <c r="L171">
        <f>IF('State Calculations'!L$5&lt;&gt;"",K171*(1+'State Calculations'!L$5),IFERROR(INDEX(L9:L56,MATCH($B$5,$A9:$A56,0))/L57*L165,0))</f>
        <v>9500152.1962830089</v>
      </c>
      <c r="M171">
        <f>IF('State Calculations'!M$5&lt;&gt;"",L171*(1+'State Calculations'!M$5),IFERROR(INDEX(M9:M56,MATCH($B$5,$A9:$A56,0))/M57*M165,0))</f>
        <v>9671099.3438527565</v>
      </c>
      <c r="N171">
        <f>IF('State Calculations'!N$5&lt;&gt;"",M171*(1+'State Calculations'!N$5),IFERROR(INDEX(N9:N56,MATCH($B$5,$A9:$A56,0))/N57*N165,0))</f>
        <v>9707647.3001085278</v>
      </c>
      <c r="O171">
        <f>IF('State Calculations'!O$5&lt;&gt;"",N171*(1+'State Calculations'!O$5),IFERROR(INDEX(O9:O56,MATCH($B$5,$A9:$A56,0))/O57*O165,0))</f>
        <v>9742218.2209563255</v>
      </c>
      <c r="P171">
        <f>IF('State Calculations'!P$5&lt;&gt;"",O171*(1+'State Calculations'!P$5),IFERROR(INDEX(P9:P56,MATCH($B$5,$A9:$A56,0))/P57*P165,0))</f>
        <v>9774692.6575966328</v>
      </c>
      <c r="Q171">
        <f>IF('State Calculations'!Q$5&lt;&gt;"",P171*(1+'State Calculations'!Q$5),IFERROR(INDEX(Q9:Q56,MATCH($B$5,$A9:$A56,0))/Q57*Q165,0))</f>
        <v>9804946.8879283033</v>
      </c>
      <c r="R171">
        <f>IF('State Calculations'!R$5&lt;&gt;"",Q171*(1+'State Calculations'!R$5),IFERROR(INDEX(R9:R56,MATCH($B$5,$A9:$A56,0))/R57*R165,0))</f>
        <v>9832852.9900975917</v>
      </c>
      <c r="S171">
        <f>IF('State Calculations'!S$5&lt;&gt;"",R171*(1+'State Calculations'!S$5),IFERROR(INDEX(S9:S56,MATCH($B$5,$A9:$A56,0))/S57*S165,0))</f>
        <v>9839194.0913996119</v>
      </c>
      <c r="T171">
        <f>IF('State Calculations'!T$5&lt;&gt;"",S171*(1+'State Calculations'!T$5),IFERROR(INDEX(T9:T56,MATCH($B$5,$A9:$A56,0))/T57*T165,0))</f>
        <v>9845369.8533672243</v>
      </c>
      <c r="U171">
        <f>IF('State Calculations'!U$5&lt;&gt;"",T171*(1+'State Calculations'!U$5),IFERROR(INDEX(U9:U56,MATCH($B$5,$A9:$A56,0))/U57*U165,0))</f>
        <v>9851378.0058349445</v>
      </c>
      <c r="V171">
        <f>IF('State Calculations'!V$5&lt;&gt;"",U171*(1+'State Calculations'!V$5),IFERROR(INDEX(V9:V56,MATCH($B$5,$A9:$A56,0))/V57*V165,0))</f>
        <v>9857216.2620529383</v>
      </c>
      <c r="W171">
        <f>IF('State Calculations'!W$5&lt;&gt;"",V171*(1+'State Calculations'!W$5),IFERROR(INDEX(W9:W56,MATCH($B$5,$A9:$A56,0))/W57*W165,0))</f>
        <v>9862882.3189051356</v>
      </c>
      <c r="X171">
        <f>IF('State Calculations'!X$5&lt;&gt;"",W171*(1+'State Calculations'!X$5),IFERROR(INDEX(X9:X56,MATCH($B$5,$A9:$A56,0))/X57*X165,0))</f>
        <v>9864253.9281929694</v>
      </c>
      <c r="Y171">
        <f>IF('State Calculations'!Y$5&lt;&gt;"",X171*(1+'State Calculations'!Y$5),IFERROR(INDEX(Y9:Y56,MATCH($B$5,$A9:$A56,0))/Y57*Y165,0))</f>
        <v>9865614.4508195464</v>
      </c>
      <c r="Z171">
        <f>IF('State Calculations'!Z$5&lt;&gt;"",Y171*(1+'State Calculations'!Z$5),IFERROR(INDEX(Z9:Z56,MATCH($B$5,$A9:$A56,0))/Z57*Z165,0))</f>
        <v>9866963.8496695906</v>
      </c>
      <c r="AA171">
        <f>IF('State Calculations'!AA$5&lt;&gt;"",Z171*(1+'State Calculations'!AA$5),IFERROR(INDEX(AA9:AA56,MATCH($B$5,$A9:$A56,0))/AA57*AA165,0))</f>
        <v>9868302.0875647031</v>
      </c>
      <c r="AB171">
        <f>IF('State Calculations'!AB$5&lt;&gt;"",AA171*(1+'State Calculations'!AB$5),IFERROR(INDEX(AB9:AB56,MATCH($B$5,$A9:$A56,0))/AB57*AB165,0))</f>
        <v>9869629.1272636745</v>
      </c>
    </row>
    <row r="172" spans="1:29" x14ac:dyDescent="0.45">
      <c r="A172" s="1" t="s">
        <v>262</v>
      </c>
      <c r="B172">
        <f>IF('State Calculations'!B$5&lt;&gt;"",A172*(1+'State Calculations'!B$5),IFERROR(INDEX(B61:B108,MATCH($B$5,$A61:$A108,0))/B109*B166,0))</f>
        <v>4007041.1909671579</v>
      </c>
      <c r="C172">
        <f>IF('State Calculations'!C$5&lt;&gt;"",B172*(1+'State Calculations'!C$5),IFERROR(INDEX(C61:C108,MATCH($B$5,$A61:$A108,0))/C109*C166,0))</f>
        <v>5138878.0127890222</v>
      </c>
      <c r="D172">
        <f>IF('State Calculations'!D$5&lt;&gt;"",C172*(1+'State Calculations'!D$5),IFERROR(INDEX(D61:D108,MATCH($B$5,$A61:$A108,0))/D109*D166,0))</f>
        <v>6548325.117502328</v>
      </c>
      <c r="E172">
        <f>IF('State Calculations'!E$5&lt;&gt;"",D172*(1+'State Calculations'!E$5),IFERROR(INDEX(E61:E108,MATCH($B$5,$A61:$A108,0))/E109*E166,0))</f>
        <v>8282219.447579612</v>
      </c>
      <c r="F172">
        <f>IF('State Calculations'!F$5&lt;&gt;"",E172*(1+'State Calculations'!F$5),IFERROR(INDEX(F61:F108,MATCH($B$5,$A61:$A108,0))/F109*F166,0))</f>
        <v>10381463.589578072</v>
      </c>
      <c r="G172">
        <f>IF('State Calculations'!G$5&lt;&gt;"",F172*(1+'State Calculations'!G$5),IFERROR(INDEX(G61:G108,MATCH($B$5,$A61:$A108,0))/G109*G166,0))</f>
        <v>12868214.791715786</v>
      </c>
      <c r="H172">
        <f>IF('State Calculations'!H$5&lt;&gt;"",G172*(1+'State Calculations'!H$5),IFERROR(INDEX(H61:H108,MATCH($B$5,$A61:$A108,0))/H109*H166,0))</f>
        <v>15723969.580321098</v>
      </c>
      <c r="I172">
        <f>IF('State Calculations'!I$5&lt;&gt;"",H172*(1+'State Calculations'!I$5),IFERROR(INDEX(I61:I108,MATCH($B$5,$A61:$A108,0))/I109*I166,0))</f>
        <v>16507070.830521522</v>
      </c>
      <c r="J172">
        <f>IF('State Calculations'!J$5&lt;&gt;"",I172*(1+'State Calculations'!J$5),IFERROR(INDEX(J61:J108,MATCH($B$5,$A61:$A108,0))/J109*J166,0))</f>
        <v>17292846.830556281</v>
      </c>
      <c r="K172">
        <f>IF('State Calculations'!K$5&lt;&gt;"",J172*(1+'State Calculations'!K$5),IFERROR(INDEX(K61:K108,MATCH($B$5,$A61:$A108,0))/K109*K166,0))</f>
        <v>18073606.499528743</v>
      </c>
      <c r="L172">
        <f>IF('State Calculations'!L$5&lt;&gt;"",K172*(1+'State Calculations'!L$5),IFERROR(INDEX(L61:L108,MATCH($B$5,$A61:$A108,0))/L109*L166,0))</f>
        <v>18840130.897948842</v>
      </c>
      <c r="M172">
        <f>IF('State Calculations'!M$5&lt;&gt;"",L172*(1+'State Calculations'!M$5),IFERROR(INDEX(M61:M108,MATCH($B$5,$A61:$A108,0))/M109*M166,0))</f>
        <v>19581552.519403599</v>
      </c>
      <c r="N172">
        <f>IF('State Calculations'!N$5&lt;&gt;"",M172*(1+'State Calculations'!N$5),IFERROR(INDEX(N61:N108,MATCH($B$5,$A61:$A108,0))/N109*N166,0))</f>
        <v>19756665.765841451</v>
      </c>
      <c r="O172">
        <f>IF('State Calculations'!O$5&lt;&gt;"",N172*(1+'State Calculations'!O$5),IFERROR(INDEX(O61:O108,MATCH($B$5,$A61:$A108,0))/O109*O166,0))</f>
        <v>19928280.235927355</v>
      </c>
      <c r="P172">
        <f>IF('State Calculations'!P$5&lt;&gt;"",O172*(1+'State Calculations'!P$5),IFERROR(INDEX(P61:P108,MATCH($B$5,$A61:$A108,0))/P109*P166,0))</f>
        <v>20096107.711920712</v>
      </c>
      <c r="Q172">
        <f>IF('State Calculations'!Q$5&lt;&gt;"",P172*(1+'State Calculations'!Q$5),IFERROR(INDEX(Q61:Q108,MATCH($B$5,$A61:$A108,0))/Q109*Q166,0))</f>
        <v>20259850.763393734</v>
      </c>
      <c r="R172">
        <f>IF('State Calculations'!R$5&lt;&gt;"",Q172*(1+'State Calculations'!R$5),IFERROR(INDEX(R61:R108,MATCH($B$5,$A61:$A108,0))/R109*R166,0))</f>
        <v>20419202.970992267</v>
      </c>
      <c r="S172">
        <f>IF('State Calculations'!S$5&lt;&gt;"",R172*(1+'State Calculations'!S$5),IFERROR(INDEX(S61:S108,MATCH($B$5,$A61:$A108,0))/S109*S166,0))</f>
        <v>20457759.889302813</v>
      </c>
      <c r="T172">
        <f>IF('State Calculations'!T$5&lt;&gt;"",S172*(1+'State Calculations'!T$5),IFERROR(INDEX(T61:T108,MATCH($B$5,$A61:$A108,0))/T109*T166,0))</f>
        <v>20495995.839365087</v>
      </c>
      <c r="U172">
        <f>IF('State Calculations'!U$5&lt;&gt;"",T172*(1+'State Calculations'!U$5),IFERROR(INDEX(U61:U108,MATCH($B$5,$A61:$A108,0))/U109*U166,0))</f>
        <v>20533905.399551395</v>
      </c>
      <c r="V172">
        <f>IF('State Calculations'!V$5&lt;&gt;"",U172*(1+'State Calculations'!V$5),IFERROR(INDEX(V61:V108,MATCH($B$5,$A61:$A108,0))/V109*V166,0))</f>
        <v>20571483.113238174</v>
      </c>
      <c r="W172">
        <f>IF('State Calculations'!W$5&lt;&gt;"",V172*(1+'State Calculations'!W$5),IFERROR(INDEX(W61:W108,MATCH($B$5,$A61:$A108,0))/W109*W166,0))</f>
        <v>20608723.489302587</v>
      </c>
      <c r="X172">
        <f>IF('State Calculations'!X$5&lt;&gt;"",W172*(1+'State Calculations'!X$5),IFERROR(INDEX(X61:X108,MATCH($B$5,$A61:$A108,0))/X109*X166,0))</f>
        <v>20617940.113647748</v>
      </c>
      <c r="Y172">
        <f>IF('State Calculations'!Y$5&lt;&gt;"",X172*(1+'State Calculations'!Y$5),IFERROR(INDEX(Y61:Y108,MATCH($B$5,$A61:$A108,0))/Y109*Y166,0))</f>
        <v>20627134.843413372</v>
      </c>
      <c r="Z172">
        <f>IF('State Calculations'!Z$5&lt;&gt;"",Y172*(1+'State Calculations'!Z$5),IFERROR(INDEX(Z61:Z108,MATCH($B$5,$A61:$A108,0))/Z109*Z166,0))</f>
        <v>20636307.590164911</v>
      </c>
      <c r="AA172">
        <f>IF('State Calculations'!AA$5&lt;&gt;"",Z172*(1+'State Calculations'!AA$5),IFERROR(INDEX(AA61:AA108,MATCH($B$5,$A61:$A108,0))/AA109*AA166,0))</f>
        <v>20645458.265335079</v>
      </c>
      <c r="AB172">
        <f>IF('State Calculations'!AB$5&lt;&gt;"",AA172*(1+'State Calculations'!AB$5),IFERROR(INDEX(AB61:AB108,MATCH($B$5,$A61:$A108,0))/AB109*AB166,0))</f>
        <v>20654586.780224361</v>
      </c>
    </row>
    <row r="173" spans="1:29" x14ac:dyDescent="0.45">
      <c r="A173" s="1" t="s">
        <v>263</v>
      </c>
      <c r="B173">
        <f>IF('State Calculations'!B$5&lt;&gt;"",A173*(1+'State Calculations'!B$5),IFERROR(INDEX(B113:B160,MATCH($B$5,$A113:$A160,0))/B161*B167,0))</f>
        <v>4007041.1909671579</v>
      </c>
      <c r="C173">
        <f>IF('State Calculations'!C$5&lt;&gt;"",B173*(1+'State Calculations'!C$5),IFERROR(INDEX(C113:C160,MATCH($B$5,$A113:$A160,0))/C161*C167,0))</f>
        <v>5508690.0702914512</v>
      </c>
      <c r="D173">
        <f>IF('State Calculations'!D$5&lt;&gt;"",C173*(1+'State Calculations'!D$5),IFERROR(INDEX(D113:D160,MATCH($B$5,$A113:$A160,0))/D161*D167,0))</f>
        <v>7516507.9055777304</v>
      </c>
      <c r="E173">
        <f>IF('State Calculations'!E$5&lt;&gt;"",D173*(1+'State Calculations'!E$5),IFERROR(INDEX(E113:E160,MATCH($B$5,$A113:$A160,0))/E161*E167,0))</f>
        <v>10168957.183300564</v>
      </c>
      <c r="F173">
        <f>IF('State Calculations'!F$5&lt;&gt;"",E173*(1+'State Calculations'!F$5),IFERROR(INDEX(F113:F160,MATCH($B$5,$A113:$A160,0))/F161*F167,0))</f>
        <v>13619819.902969848</v>
      </c>
      <c r="G173">
        <f>IF('State Calculations'!G$5&lt;&gt;"",F173*(1+'State Calculations'!G$5),IFERROR(INDEX(G113:G160,MATCH($B$5,$A113:$A160,0))/G161*G167,0))</f>
        <v>18019492.383459754</v>
      </c>
      <c r="H173">
        <f>IF('State Calculations'!H$5&lt;&gt;"",G173*(1+'State Calculations'!H$5),IFERROR(INDEX(H113:H160,MATCH($B$5,$A113:$A160,0))/H161*H167,0))</f>
        <v>23474926.031036768</v>
      </c>
      <c r="I173">
        <f>IF('State Calculations'!I$5&lt;&gt;"",H173*(1+'State Calculations'!I$5),IFERROR(INDEX(I113:I160,MATCH($B$5,$A113:$A160,0))/I161*I167,0))</f>
        <v>25100417.131925885</v>
      </c>
      <c r="J173">
        <f>IF('State Calculations'!J$5&lt;&gt;"",I173*(1+'State Calculations'!J$5),IFERROR(INDEX(J113:J160,MATCH($B$5,$A113:$A160,0))/J161*J167,0))</f>
        <v>26774385.954922482</v>
      </c>
      <c r="K173">
        <f>IF('State Calculations'!K$5&lt;&gt;"",J173*(1+'State Calculations'!K$5),IFERROR(INDEX(K113:K160,MATCH($B$5,$A113:$A160,0))/K161*K167,0))</f>
        <v>28483828.616565555</v>
      </c>
      <c r="L173">
        <f>IF('State Calculations'!L$5&lt;&gt;"",K173*(1+'State Calculations'!L$5),IFERROR(INDEX(L113:L160,MATCH($B$5,$A113:$A160,0))/L161*L167,0))</f>
        <v>30212007.57298056</v>
      </c>
      <c r="M173">
        <f>IF('State Calculations'!M$5&lt;&gt;"",L173*(1+'State Calculations'!M$5),IFERROR(INDEX(M113:M160,MATCH($B$5,$A113:$A160,0))/M161*M167,0))</f>
        <v>31937995.303870182</v>
      </c>
      <c r="N173">
        <f>IF('State Calculations'!N$5&lt;&gt;"",M173*(1+'State Calculations'!N$5),IFERROR(INDEX(N113:N160,MATCH($B$5,$A113:$A160,0))/N161*N167,0))</f>
        <v>32360962.138671245</v>
      </c>
      <c r="O173">
        <f>IF('State Calculations'!O$5&lt;&gt;"",N173*(1+'State Calculations'!O$5),IFERROR(INDEX(O113:O160,MATCH($B$5,$A113:$A160,0))/O161*O167,0))</f>
        <v>32779779.965617366</v>
      </c>
      <c r="P173">
        <f>IF('State Calculations'!P$5&lt;&gt;"",O173*(1+'State Calculations'!P$5),IFERROR(INDEX(P113:P160,MATCH($B$5,$A113:$A160,0))/P161*P167,0))</f>
        <v>33193810.127026632</v>
      </c>
      <c r="Q173">
        <f>IF('State Calculations'!Q$5&lt;&gt;"",P173*(1+'State Calculations'!Q$5),IFERROR(INDEX(Q113:Q160,MATCH($B$5,$A113:$A160,0))/Q161*Q167,0))</f>
        <v>33602387.000707403</v>
      </c>
      <c r="R173">
        <f>IF('State Calculations'!R$5&lt;&gt;"",Q173*(1+'State Calculations'!R$5),IFERROR(INDEX(R113:R160,MATCH($B$5,$A113:$A160,0))/R161*R167,0))</f>
        <v>34004818.258934841</v>
      </c>
      <c r="S173">
        <f>IF('State Calculations'!S$5&lt;&gt;"",R173*(1+'State Calculations'!S$5),IFERROR(INDEX(S113:S160,MATCH($B$5,$A113:$A160,0))/S161*S167,0))</f>
        <v>34103490.497747555</v>
      </c>
      <c r="T173">
        <f>IF('State Calculations'!T$5&lt;&gt;"",S173*(1+'State Calculations'!T$5),IFERROR(INDEX(T113:T160,MATCH($B$5,$A113:$A160,0))/T161*T167,0))</f>
        <v>34201672.251220398</v>
      </c>
      <c r="U173">
        <f>IF('State Calculations'!U$5&lt;&gt;"",T173*(1+'State Calculations'!U$5),IFERROR(INDEX(U113:U160,MATCH($B$5,$A113:$A160,0))/U161*U167,0))</f>
        <v>34299350.904143713</v>
      </c>
      <c r="V173">
        <f>IF('State Calculations'!V$5&lt;&gt;"",U173*(1+'State Calculations'!V$5),IFERROR(INDEX(V113:V160,MATCH($B$5,$A113:$A160,0))/V161*V167,0))</f>
        <v>34396513.732076615</v>
      </c>
      <c r="W173">
        <f>IF('State Calculations'!W$5&lt;&gt;"",V173*(1+'State Calculations'!W$5),IFERROR(INDEX(W113:W160,MATCH($B$5,$A113:$A160,0))/W161*W167,0))</f>
        <v>34493147.90233279</v>
      </c>
      <c r="X173">
        <f>IF('State Calculations'!X$5&lt;&gt;"",W173*(1+'State Calculations'!X$5),IFERROR(INDEX(X113:X160,MATCH($B$5,$A113:$A160,0))/X161*X167,0))</f>
        <v>34517154.512849882</v>
      </c>
      <c r="Y173">
        <f>IF('State Calculations'!Y$5&lt;&gt;"",X173*(1+'State Calculations'!Y$5),IFERROR(INDEX(Y113:Y160,MATCH($B$5,$A113:$A160,0))/Y161*Y167,0))</f>
        <v>34541126.187212437</v>
      </c>
      <c r="Z173">
        <f>IF('State Calculations'!Z$5&lt;&gt;"",Y173*(1+'State Calculations'!Z$5),IFERROR(INDEX(Z113:Z160,MATCH($B$5,$A113:$A160,0))/Z161*Z167,0))</f>
        <v>34565062.717281818</v>
      </c>
      <c r="AA173">
        <f>IF('State Calculations'!AA$5&lt;&gt;"",Z173*(1+'State Calculations'!AA$5),IFERROR(INDEX(AA113:AA160,MATCH($B$5,$A113:$A160,0))/AA161*AA167,0))</f>
        <v>34588963.894496486</v>
      </c>
      <c r="AB173">
        <f>IF('State Calculations'!AB$5&lt;&gt;"",AA173*(1+'State Calculations'!AB$5),IFERROR(INDEX(AB113:AB160,MATCH($B$5,$A113:$A160,0))/AB161*AB167,0))</f>
        <v>34612829.509873226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4007041.1909671579</v>
      </c>
      <c r="C2">
        <f>Calcs!C171</f>
        <v>4611746.804847029</v>
      </c>
      <c r="D2">
        <f>Calcs!D171</f>
        <v>5289482.1346085444</v>
      </c>
      <c r="E2">
        <f>Calcs!E171</f>
        <v>6041850.7955760164</v>
      </c>
      <c r="F2">
        <f>Calcs!F171</f>
        <v>6865727.6461638063</v>
      </c>
      <c r="G2">
        <f>Calcs!G171</f>
        <v>7749192.3907015994</v>
      </c>
      <c r="H2">
        <f>Calcs!H171</f>
        <v>8664323.5624698978</v>
      </c>
      <c r="I2">
        <f>Calcs!I171</f>
        <v>8888459.5517695025</v>
      </c>
      <c r="J2">
        <f>Calcs!J171</f>
        <v>9104691.0627365354</v>
      </c>
      <c r="K2">
        <f>Calcs!K171</f>
        <v>9309852.4212300666</v>
      </c>
      <c r="L2">
        <f>Calcs!L171</f>
        <v>9500152.1962830089</v>
      </c>
      <c r="M2">
        <f>Calcs!M171</f>
        <v>9671099.3438527565</v>
      </c>
      <c r="N2">
        <f>Calcs!N171</f>
        <v>9707647.3001085278</v>
      </c>
      <c r="O2">
        <f>Calcs!O171</f>
        <v>9742218.2209563255</v>
      </c>
      <c r="P2">
        <f>Calcs!P171</f>
        <v>9774692.6575966328</v>
      </c>
      <c r="Q2">
        <f>Calcs!Q171</f>
        <v>9804946.8879283033</v>
      </c>
      <c r="R2">
        <f>Calcs!R171</f>
        <v>9832852.9900975917</v>
      </c>
      <c r="S2">
        <f>Calcs!S171</f>
        <v>9839194.0913996119</v>
      </c>
      <c r="T2">
        <f>Calcs!T171</f>
        <v>9845369.8533672243</v>
      </c>
      <c r="U2">
        <f>Calcs!U171</f>
        <v>9851378.0058349445</v>
      </c>
      <c r="V2">
        <f>Calcs!V171</f>
        <v>9857216.2620529383</v>
      </c>
      <c r="W2">
        <f>Calcs!W171</f>
        <v>9862882.3189051356</v>
      </c>
      <c r="X2">
        <f>Calcs!X171</f>
        <v>9864253.9281929694</v>
      </c>
      <c r="Y2">
        <f>Calcs!Y171</f>
        <v>9865614.4508195464</v>
      </c>
      <c r="Z2">
        <f>Calcs!Z171</f>
        <v>9866963.8496695906</v>
      </c>
      <c r="AA2">
        <f>Calcs!AA171</f>
        <v>9868302.0875647031</v>
      </c>
      <c r="AB2">
        <f>Calcs!AB171</f>
        <v>9869629.1272636745</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4007041.1909671579</v>
      </c>
      <c r="C2">
        <f>Calcs!C172</f>
        <v>5138878.0127890222</v>
      </c>
      <c r="D2">
        <f>Calcs!D172</f>
        <v>6548325.117502328</v>
      </c>
      <c r="E2">
        <f>Calcs!E172</f>
        <v>8282219.447579612</v>
      </c>
      <c r="F2">
        <f>Calcs!F172</f>
        <v>10381463.589578072</v>
      </c>
      <c r="G2">
        <f>Calcs!G172</f>
        <v>12868214.791715786</v>
      </c>
      <c r="H2">
        <f>Calcs!H172</f>
        <v>15723969.580321098</v>
      </c>
      <c r="I2">
        <f>Calcs!I172</f>
        <v>16507070.830521522</v>
      </c>
      <c r="J2">
        <f>Calcs!J172</f>
        <v>17292846.830556281</v>
      </c>
      <c r="K2">
        <f>Calcs!K172</f>
        <v>18073606.499528743</v>
      </c>
      <c r="L2">
        <f>Calcs!L172</f>
        <v>18840130.897948842</v>
      </c>
      <c r="M2">
        <f>Calcs!M172</f>
        <v>19581552.519403599</v>
      </c>
      <c r="N2">
        <f>Calcs!N172</f>
        <v>19756665.765841451</v>
      </c>
      <c r="O2">
        <f>Calcs!O172</f>
        <v>19928280.235927355</v>
      </c>
      <c r="P2">
        <f>Calcs!P172</f>
        <v>20096107.711920712</v>
      </c>
      <c r="Q2">
        <f>Calcs!Q172</f>
        <v>20259850.763393734</v>
      </c>
      <c r="R2">
        <f>Calcs!R172</f>
        <v>20419202.970992267</v>
      </c>
      <c r="S2">
        <f>Calcs!S172</f>
        <v>20457759.889302813</v>
      </c>
      <c r="T2">
        <f>Calcs!T172</f>
        <v>20495995.839365087</v>
      </c>
      <c r="U2">
        <f>Calcs!U172</f>
        <v>20533905.399551395</v>
      </c>
      <c r="V2">
        <f>Calcs!V172</f>
        <v>20571483.113238174</v>
      </c>
      <c r="W2">
        <f>Calcs!W172</f>
        <v>20608723.489302587</v>
      </c>
      <c r="X2">
        <f>Calcs!X172</f>
        <v>20617940.113647748</v>
      </c>
      <c r="Y2">
        <f>Calcs!Y172</f>
        <v>20627134.843413372</v>
      </c>
      <c r="Z2">
        <f>Calcs!Z172</f>
        <v>20636307.590164911</v>
      </c>
      <c r="AA2">
        <f>Calcs!AA172</f>
        <v>20645458.265335079</v>
      </c>
      <c r="AB2">
        <f>Calcs!AB172</f>
        <v>20654586.780224361</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4007041.1909671579</v>
      </c>
      <c r="C2">
        <f>Calcs!C173</f>
        <v>5508690.0702914512</v>
      </c>
      <c r="D2">
        <f>Calcs!D173</f>
        <v>7516507.9055777304</v>
      </c>
      <c r="E2">
        <f>Calcs!E173</f>
        <v>10168957.183300564</v>
      </c>
      <c r="F2">
        <f>Calcs!F173</f>
        <v>13619819.902969848</v>
      </c>
      <c r="G2">
        <f>Calcs!G173</f>
        <v>18019492.383459754</v>
      </c>
      <c r="H2">
        <f>Calcs!H173</f>
        <v>23474926.031036768</v>
      </c>
      <c r="I2">
        <f>Calcs!I173</f>
        <v>25100417.131925885</v>
      </c>
      <c r="J2">
        <f>Calcs!J173</f>
        <v>26774385.954922482</v>
      </c>
      <c r="K2">
        <f>Calcs!K173</f>
        <v>28483828.616565555</v>
      </c>
      <c r="L2">
        <f>Calcs!L173</f>
        <v>30212007.57298056</v>
      </c>
      <c r="M2">
        <f>Calcs!M173</f>
        <v>31937995.303870182</v>
      </c>
      <c r="N2">
        <f>Calcs!N173</f>
        <v>32360962.138671245</v>
      </c>
      <c r="O2">
        <f>Calcs!O173</f>
        <v>32779779.965617366</v>
      </c>
      <c r="P2">
        <f>Calcs!P173</f>
        <v>33193810.127026632</v>
      </c>
      <c r="Q2">
        <f>Calcs!Q173</f>
        <v>33602387.000707403</v>
      </c>
      <c r="R2">
        <f>Calcs!R173</f>
        <v>34004818.258934841</v>
      </c>
      <c r="S2">
        <f>Calcs!S173</f>
        <v>34103490.497747555</v>
      </c>
      <c r="T2">
        <f>Calcs!T173</f>
        <v>34201672.251220398</v>
      </c>
      <c r="U2">
        <f>Calcs!U173</f>
        <v>34299350.904143713</v>
      </c>
      <c r="V2">
        <f>Calcs!V173</f>
        <v>34396513.732076615</v>
      </c>
      <c r="W2">
        <f>Calcs!W173</f>
        <v>34493147.90233279</v>
      </c>
      <c r="X2">
        <f>Calcs!X173</f>
        <v>34517154.512849882</v>
      </c>
      <c r="Y2">
        <f>Calcs!Y173</f>
        <v>34541126.187212437</v>
      </c>
      <c r="Z2">
        <f>Calcs!Z173</f>
        <v>34565062.717281818</v>
      </c>
      <c r="AA2">
        <f>Calcs!AA173</f>
        <v>34588963.894496486</v>
      </c>
      <c r="AB2">
        <f>Calcs!AB173</f>
        <v>34612829.509873226</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2026-09-01T22:21:47Z</dcterms:modified>
</cp:coreProperties>
</file>