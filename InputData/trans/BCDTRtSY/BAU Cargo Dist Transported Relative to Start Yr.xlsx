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V\trans\BCDTRtSY\"/>
    </mc:Choice>
  </mc:AlternateContent>
  <xr:revisionPtr revIDLastSave="0" documentId="8_{C114BC4B-E746-4475-956B-72D3BA3E8377}"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<sst xmlns="http://schemas.openxmlformats.org/spreadsheetml/2006/main" count="6428" uniqueCount="3038">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</sst>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2913</v>
      </c>
      <c r="C1" s="77">
        <v>46248</v>
      </c>
      <c r="H1" t="s">
        <v>2981</v>
      </c>
      <c r="I1" t="s">
        <v>2982</v>
      </c>
    </row>
    <row r="2" spans="1:9">
      <c r="B2" t="str">
        <f>VLOOKUP(B1,H2:I52,2)</f>
        <v>NV</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Nevada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1.0120943092245296</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1.0256671788752847</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1.0361562969822458</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1.0462427336266615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1.0555761085636806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1.0669118630013066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1.0784254718293804</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1.088476040167544</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1.0991493157954784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1.1089102941694586</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1.1194064339316692</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1.1303668472863142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1.1413891345236196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1.1517477363697322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1.1623216206237483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1.1726182713314801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1.1827695233139786</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1.1925275952363004</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1.2025318638647267</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1.2122713638440605</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1.2216848573457286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1.2301555319405539</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1.2387439982405086</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1.2470258065026074</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1.2557499224379967</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1.0239731384517392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1.0422544354534788</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1.0571119478051623</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1.0707889185654691</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1.0830649824182244</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1.0963574992194081</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1.1092455541879225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1.1226708269530581</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1.1356363075258085</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1.1489766921841542</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1.1615109959614476</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1.1742080293564858</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1.1863821664403356</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1.1985474737570507</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1.2106688206914165</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1.2226538164572824</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1.2346013555586175</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1.2461857217283308</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1.2576421688085502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1.2689761279656133</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1.2798680226244872</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1.2906256027118848</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1.3009330424554775</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1.3110214658746049</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1.3210111608519262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1.0374705193094218</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1.062541880327545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1.0768247873194119</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1.0961023511888972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1.1197525980120149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1.1453778858892705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1.1758140167219082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1.2085564543725644</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1.2441435760513408</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1.2828439508203815</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1.31447285507448</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1.3464878532769706</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1.3785355141066458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1.4097892983864886</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1.4418247057343105</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1.4734517698425624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1.5066077932397985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1.5415967575485752</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1.5768345616258026</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1.6125660359998557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1.6474559724374687</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1.680359289012797</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1.7137641481624155</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1.7461915681746993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1.7794790490072991</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1.0700232232541678</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1.1242054078496873</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1.1671876313919798</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1.2056321936664112</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1.2396429813079015</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1.2725607253100051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1.3035218114302025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1.3356886435236988</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1.362801126414936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1.3901014307310036</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1.4136128523116622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1.4382253078730625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1.4615866524266674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1.4821145097142454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1.50314089939101</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1.5234587282142611</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1.5439141041124127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1.5627075890985256</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1.5825144070066413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1.6031740830163808</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1.6220388342510776</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1.6418306595618983</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1.6589791064543205</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1.6756814705971725</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1.6920566576474139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1.0078896761367611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1.0085967600548864</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1.0031376551763898</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1.0000047830708998</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0.99908726203153486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1.0000006529578265</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1.0031950205101408</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1.0075308475333773</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1.0130859382465904</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1.0199522065069049</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1.0235686587158783</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1.027125098019734</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1.0304026606182712</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1.0335009101100809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1.036599821586391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1.0393667986826618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1.0425046320653322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1.0458784443643065</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1.0491595809560328</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1.0523107306648545</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1.0548256835377197</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1.056481844136107</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1.0578607002373346</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1.0586815384863539</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1.0597074824773216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1.0118572740764002</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1.0259674675042856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1.0371463439714717</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1.0481358945099084</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1.0580846653439955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1.0707381493859898</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1.0834736431930527</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1.094620502010424</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1.1061506803459893</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1.1167165680517757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1.1281470352960654</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1.1400767601900514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1.151990885414456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1.163119822035608</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1.1745086209403071</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1.1859580112619827</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1.1971180183641217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1.2080202547720365</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1.2193152854140581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1.2304673906660246</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1.2410841654403031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1.2508344457753457</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1.2605095379008651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1.2699830204959972</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1.2799232705655508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1.0019967990348326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1.0094340028878106</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1.0164737594302771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1.024686654795645</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1.0378200703002667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1.0520985729420915</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1.068338498683552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1.0833124691948977</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1.1004405325645739</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1.1184568579155796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1.1369815841959667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1.1570430636283928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1.1786452452458618</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1.2008530458311426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1.2238446712486126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1.2466418343476418</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1.2689521290767898</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1.288485267944514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1.3078562652423129</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1.3289885218835309</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1.3508585046763557</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1.3737424999722418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1.3952775200168497</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1.4179454775311329</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1.4398693912800651</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1.0167278485445062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1.0378349797113342</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1.0582024735734872</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1.0760394324953675</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1.0964221637908491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1.1150217773283186</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1.1347187024039997</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1.1522454640219955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1.1712306874020619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1.1902055413892143</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1.2084384576514582</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1.2260197269317938</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1.2425802115476561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1.2585856349013174</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1.2748651463211167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1.2916751605363315</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1.3079677587340495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1.3231598274260972</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1.3387850455480432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1.3567000540547447</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1.37497496207612</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1.3932479796662864</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1.409046797762963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1.4248179752174603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1.4399554192426178</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1.0328928900657428</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1.058208868941523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1.0771337251800197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1.0999565834039453</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1.1260051143037118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1.1546365327231265</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1.186840885978711</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1.2209622531990028</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1.2573693325096016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1.2962360308525185</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1.3306686748807388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1.365680227274271</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1.4010259696523473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1.4361295339080478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1.472089605846624</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1.5083389361793635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1.5459548908932477</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1.5851590420606652</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1.6248675530069756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1.6652500219026158</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1.7053868271284587</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1.744472326447049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1.7842542663726428</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1.8237021270998304</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1.864131857756264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0.98304094735426473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1.0206366541987133</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1.0054443871361791</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1.0031617739620819</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1.0154938272429475</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0.9973470012507466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1.0094257449876072</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1.0216922245369009</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1.026625618133135</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1.0378015282530322</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1.0480657362618118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1.0598323275607944</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1.068029554972961</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1.0779302130078789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1.0867215854668766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1.0940520231587321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1.0989396738741806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1.1044779276926107</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1.1127956302225608</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1.1204006530196529</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1.1309160240560467</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1.1457751817730846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1.1576059836816661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1.1624637339393746</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1.1680528627033779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0.99800009441407667</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1.0231828702229093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1.0506081849624831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1.0747899217281687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1.100085451553239</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1.1267881659605599</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1.1558852650151505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1.1855731429420753</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1.2163115898848338</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1.2484278154525754</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1.2765048066771985</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1.3011672514779551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1.3260012162212316</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1.3497030800500487</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1.3736556580544592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1.3981404336370467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1.4240229290356257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1.4496269846315688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1.4752550513035996</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1.5026524216920432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1.5304498738447663</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1.5586925142739279</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1.5862379850630546</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1.6136199289567184</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1.6429451599396658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1.0120943092245296</v>
      </c>
      <c r="E2">
        <f>'BCDTRtSY-state-adjusted'!E5</f>
        <v>1.0256671788752847</v>
      </c>
      <c r="F2">
        <f>'BCDTRtSY-state-adjusted'!F5</f>
        <v>1.0361562969822458</v>
      </c>
      <c r="G2">
        <f>'BCDTRtSY-state-adjusted'!G5</f>
        <v>1.0462427336266615</v>
      </c>
      <c r="H2">
        <f>'BCDTRtSY-state-adjusted'!H5</f>
        <v>1.0555761085636806</v>
      </c>
      <c r="I2">
        <f>'BCDTRtSY-state-adjusted'!I5</f>
        <v>1.0669118630013066</v>
      </c>
      <c r="J2">
        <f>'BCDTRtSY-state-adjusted'!J5</f>
        <v>1.0784254718293804</v>
      </c>
      <c r="K2">
        <f>'BCDTRtSY-state-adjusted'!K5</f>
        <v>1.088476040167544</v>
      </c>
      <c r="L2">
        <f>'BCDTRtSY-state-adjusted'!L5</f>
        <v>1.0991493157954784</v>
      </c>
      <c r="M2">
        <f>'BCDTRtSY-state-adjusted'!M5</f>
        <v>1.1089102941694586</v>
      </c>
      <c r="N2">
        <f>'BCDTRtSY-state-adjusted'!N5</f>
        <v>1.1194064339316692</v>
      </c>
      <c r="O2">
        <f>'BCDTRtSY-state-adjusted'!O5</f>
        <v>1.1303668472863142</v>
      </c>
      <c r="P2">
        <f>'BCDTRtSY-state-adjusted'!P5</f>
        <v>1.1413891345236196</v>
      </c>
      <c r="Q2">
        <f>'BCDTRtSY-state-adjusted'!Q5</f>
        <v>1.1517477363697322</v>
      </c>
      <c r="R2">
        <f>'BCDTRtSY-state-adjusted'!R5</f>
        <v>1.1623216206237483</v>
      </c>
      <c r="S2">
        <f>'BCDTRtSY-state-adjusted'!S5</f>
        <v>1.1726182713314801</v>
      </c>
      <c r="T2">
        <f>'BCDTRtSY-state-adjusted'!T5</f>
        <v>1.1827695233139786</v>
      </c>
      <c r="U2">
        <f>'BCDTRtSY-state-adjusted'!U5</f>
        <v>1.1925275952363004</v>
      </c>
      <c r="V2">
        <f>'BCDTRtSY-state-adjusted'!V5</f>
        <v>1.2025318638647267</v>
      </c>
      <c r="W2">
        <f>'BCDTRtSY-state-adjusted'!W5</f>
        <v>1.2122713638440605</v>
      </c>
      <c r="X2">
        <f>'BCDTRtSY-state-adjusted'!X5</f>
        <v>1.2216848573457286</v>
      </c>
      <c r="Y2">
        <f>'BCDTRtSY-state-adjusted'!Y5</f>
        <v>1.2301555319405539</v>
      </c>
      <c r="Z2">
        <f>'BCDTRtSY-state-adjusted'!Z5</f>
        <v>1.2387439982405086</v>
      </c>
      <c r="AA2">
        <f>'BCDTRtSY-state-adjusted'!AA5</f>
        <v>1.2470258065026074</v>
      </c>
      <c r="AB2">
        <f>'BCDTRtSY-state-adjusted'!AB5</f>
        <v>1.2557499224379967</v>
      </c>
    </row>
    <row r="3" spans="1:28">
      <c r="A3" t="s">
        <v>118</v>
      </c>
      <c r="B3">
        <f>'BCDTRtSY-state-adjusted'!B6</f>
        <v>1</v>
      </c>
      <c r="C3">
        <f>'BCDTRtSY-state-adjusted'!C6</f>
        <v>1</v>
      </c>
      <c r="D3">
        <f>'BCDTRtSY-state-adjusted'!D6</f>
        <v>1.0239731384517392</v>
      </c>
      <c r="E3">
        <f>'BCDTRtSY-state-adjusted'!E6</f>
        <v>1.0422544354534788</v>
      </c>
      <c r="F3">
        <f>'BCDTRtSY-state-adjusted'!F6</f>
        <v>1.0571119478051623</v>
      </c>
      <c r="G3">
        <f>'BCDTRtSY-state-adjusted'!G6</f>
        <v>1.0707889185654691</v>
      </c>
      <c r="H3">
        <f>'BCDTRtSY-state-adjusted'!H6</f>
        <v>1.0830649824182244</v>
      </c>
      <c r="I3">
        <f>'BCDTRtSY-state-adjusted'!I6</f>
        <v>1.0963574992194081</v>
      </c>
      <c r="J3">
        <f>'BCDTRtSY-state-adjusted'!J6</f>
        <v>1.1092455541879225</v>
      </c>
      <c r="K3">
        <f>'BCDTRtSY-state-adjusted'!K6</f>
        <v>1.1226708269530581</v>
      </c>
      <c r="L3">
        <f>'BCDTRtSY-state-adjusted'!L6</f>
        <v>1.1356363075258085</v>
      </c>
      <c r="M3">
        <f>'BCDTRtSY-state-adjusted'!M6</f>
        <v>1.1489766921841542</v>
      </c>
      <c r="N3">
        <f>'BCDTRtSY-state-adjusted'!N6</f>
        <v>1.1615109959614476</v>
      </c>
      <c r="O3">
        <f>'BCDTRtSY-state-adjusted'!O6</f>
        <v>1.1742080293564858</v>
      </c>
      <c r="P3">
        <f>'BCDTRtSY-state-adjusted'!P6</f>
        <v>1.1863821664403356</v>
      </c>
      <c r="Q3">
        <f>'BCDTRtSY-state-adjusted'!Q6</f>
        <v>1.1985474737570507</v>
      </c>
      <c r="R3">
        <f>'BCDTRtSY-state-adjusted'!R6</f>
        <v>1.2106688206914165</v>
      </c>
      <c r="S3">
        <f>'BCDTRtSY-state-adjusted'!S6</f>
        <v>1.2226538164572824</v>
      </c>
      <c r="T3">
        <f>'BCDTRtSY-state-adjusted'!T6</f>
        <v>1.2346013555586175</v>
      </c>
      <c r="U3">
        <f>'BCDTRtSY-state-adjusted'!U6</f>
        <v>1.2461857217283308</v>
      </c>
      <c r="V3">
        <f>'BCDTRtSY-state-adjusted'!V6</f>
        <v>1.2576421688085502</v>
      </c>
      <c r="W3">
        <f>'BCDTRtSY-state-adjusted'!W6</f>
        <v>1.2689761279656133</v>
      </c>
      <c r="X3">
        <f>'BCDTRtSY-state-adjusted'!X6</f>
        <v>1.2798680226244872</v>
      </c>
      <c r="Y3">
        <f>'BCDTRtSY-state-adjusted'!Y6</f>
        <v>1.2906256027118848</v>
      </c>
      <c r="Z3">
        <f>'BCDTRtSY-state-adjusted'!Z6</f>
        <v>1.3009330424554775</v>
      </c>
      <c r="AA3">
        <f>'BCDTRtSY-state-adjusted'!AA6</f>
        <v>1.3110214658746049</v>
      </c>
      <c r="AB3">
        <f>'BCDTRtSY-state-adjusted'!AB6</f>
        <v>1.3210111608519262</v>
      </c>
    </row>
    <row r="4" spans="1:28">
      <c r="A4" t="s">
        <v>116</v>
      </c>
      <c r="B4">
        <f>'BCDTRtSY-state-adjusted'!B7</f>
        <v>1</v>
      </c>
      <c r="C4">
        <f>'BCDTRtSY-state-adjusted'!C7</f>
        <v>1</v>
      </c>
      <c r="D4">
        <f>'BCDTRtSY-state-adjusted'!D7</f>
        <v>1.0374705193094218</v>
      </c>
      <c r="E4">
        <f>'BCDTRtSY-state-adjusted'!E7</f>
        <v>1.062541880327545</v>
      </c>
      <c r="F4">
        <f>'BCDTRtSY-state-adjusted'!F7</f>
        <v>1.0768247873194119</v>
      </c>
      <c r="G4">
        <f>'BCDTRtSY-state-adjusted'!G7</f>
        <v>1.0961023511888972</v>
      </c>
      <c r="H4">
        <f>'BCDTRtSY-state-adjusted'!H7</f>
        <v>1.1197525980120149</v>
      </c>
      <c r="I4">
        <f>'BCDTRtSY-state-adjusted'!I7</f>
        <v>1.1453778858892705</v>
      </c>
      <c r="J4">
        <f>'BCDTRtSY-state-adjusted'!J7</f>
        <v>1.1758140167219082</v>
      </c>
      <c r="K4">
        <f>'BCDTRtSY-state-adjusted'!K7</f>
        <v>1.2085564543725644</v>
      </c>
      <c r="L4">
        <f>'BCDTRtSY-state-adjusted'!L7</f>
        <v>1.2441435760513408</v>
      </c>
      <c r="M4">
        <f>'BCDTRtSY-state-adjusted'!M7</f>
        <v>1.2828439508203815</v>
      </c>
      <c r="N4">
        <f>'BCDTRtSY-state-adjusted'!N7</f>
        <v>1.31447285507448</v>
      </c>
      <c r="O4">
        <f>'BCDTRtSY-state-adjusted'!O7</f>
        <v>1.3464878532769706</v>
      </c>
      <c r="P4">
        <f>'BCDTRtSY-state-adjusted'!P7</f>
        <v>1.3785355141066458</v>
      </c>
      <c r="Q4">
        <f>'BCDTRtSY-state-adjusted'!Q7</f>
        <v>1.4097892983864886</v>
      </c>
      <c r="R4">
        <f>'BCDTRtSY-state-adjusted'!R7</f>
        <v>1.4418247057343105</v>
      </c>
      <c r="S4">
        <f>'BCDTRtSY-state-adjusted'!S7</f>
        <v>1.4734517698425624</v>
      </c>
      <c r="T4">
        <f>'BCDTRtSY-state-adjusted'!T7</f>
        <v>1.5066077932397985</v>
      </c>
      <c r="U4">
        <f>'BCDTRtSY-state-adjusted'!U7</f>
        <v>1.5415967575485752</v>
      </c>
      <c r="V4">
        <f>'BCDTRtSY-state-adjusted'!V7</f>
        <v>1.5768345616258026</v>
      </c>
      <c r="W4">
        <f>'BCDTRtSY-state-adjusted'!W7</f>
        <v>1.6125660359998557</v>
      </c>
      <c r="X4">
        <f>'BCDTRtSY-state-adjusted'!X7</f>
        <v>1.6474559724374687</v>
      </c>
      <c r="Y4">
        <f>'BCDTRtSY-state-adjusted'!Y7</f>
        <v>1.680359289012797</v>
      </c>
      <c r="Z4">
        <f>'BCDTRtSY-state-adjusted'!Z7</f>
        <v>1.7137641481624155</v>
      </c>
      <c r="AA4">
        <f>'BCDTRtSY-state-adjusted'!AA7</f>
        <v>1.7461915681746993</v>
      </c>
      <c r="AB4">
        <f>'BCDTRtSY-state-adjusted'!AB7</f>
        <v>1.7794790490072991</v>
      </c>
    </row>
    <row r="5" spans="1:28">
      <c r="A5" t="s">
        <v>121</v>
      </c>
      <c r="B5">
        <f>'BCDTRtSY-state-adjusted'!B8</f>
        <v>1</v>
      </c>
      <c r="C5">
        <f>'BCDTRtSY-state-adjusted'!C8</f>
        <v>1</v>
      </c>
      <c r="D5">
        <f>'BCDTRtSY-state-adjusted'!D8</f>
        <v>1.0700232232541678</v>
      </c>
      <c r="E5">
        <f>'BCDTRtSY-state-adjusted'!E8</f>
        <v>1.1242054078496873</v>
      </c>
      <c r="F5">
        <f>'BCDTRtSY-state-adjusted'!F8</f>
        <v>1.1671876313919798</v>
      </c>
      <c r="G5">
        <f>'BCDTRtSY-state-adjusted'!G8</f>
        <v>1.2056321936664112</v>
      </c>
      <c r="H5">
        <f>'BCDTRtSY-state-adjusted'!H8</f>
        <v>1.2396429813079015</v>
      </c>
      <c r="I5">
        <f>'BCDTRtSY-state-adjusted'!I8</f>
        <v>1.2725607253100051</v>
      </c>
      <c r="J5">
        <f>'BCDTRtSY-state-adjusted'!J8</f>
        <v>1.3035218114302025</v>
      </c>
      <c r="K5">
        <f>'BCDTRtSY-state-adjusted'!K8</f>
        <v>1.3356886435236988</v>
      </c>
      <c r="L5">
        <f>'BCDTRtSY-state-adjusted'!L8</f>
        <v>1.362801126414936</v>
      </c>
      <c r="M5">
        <f>'BCDTRtSY-state-adjusted'!M8</f>
        <v>1.3901014307310036</v>
      </c>
      <c r="N5">
        <f>'BCDTRtSY-state-adjusted'!N8</f>
        <v>1.4136128523116622</v>
      </c>
      <c r="O5">
        <f>'BCDTRtSY-state-adjusted'!O8</f>
        <v>1.4382253078730625</v>
      </c>
      <c r="P5">
        <f>'BCDTRtSY-state-adjusted'!P8</f>
        <v>1.4615866524266674</v>
      </c>
      <c r="Q5">
        <f>'BCDTRtSY-state-adjusted'!Q8</f>
        <v>1.4821145097142454</v>
      </c>
      <c r="R5">
        <f>'BCDTRtSY-state-adjusted'!R8</f>
        <v>1.50314089939101</v>
      </c>
      <c r="S5">
        <f>'BCDTRtSY-state-adjusted'!S8</f>
        <v>1.5234587282142611</v>
      </c>
      <c r="T5">
        <f>'BCDTRtSY-state-adjusted'!T8</f>
        <v>1.5439141041124127</v>
      </c>
      <c r="U5">
        <f>'BCDTRtSY-state-adjusted'!U8</f>
        <v>1.5627075890985256</v>
      </c>
      <c r="V5">
        <f>'BCDTRtSY-state-adjusted'!V8</f>
        <v>1.5825144070066413</v>
      </c>
      <c r="W5">
        <f>'BCDTRtSY-state-adjusted'!W8</f>
        <v>1.6031740830163808</v>
      </c>
      <c r="X5">
        <f>'BCDTRtSY-state-adjusted'!X8</f>
        <v>1.6220388342510776</v>
      </c>
      <c r="Y5">
        <f>'BCDTRtSY-state-adjusted'!Y8</f>
        <v>1.6418306595618983</v>
      </c>
      <c r="Z5">
        <f>'BCDTRtSY-state-adjusted'!Z8</f>
        <v>1.6589791064543205</v>
      </c>
      <c r="AA5">
        <f>'BCDTRtSY-state-adjusted'!AA8</f>
        <v>1.6756814705971725</v>
      </c>
      <c r="AB5">
        <f>'BCDTRtSY-state-adjusted'!AB8</f>
        <v>1.6920566576474139</v>
      </c>
    </row>
    <row r="6" spans="1:28">
      <c r="A6" t="s">
        <v>122</v>
      </c>
      <c r="B6">
        <f>'BCDTRtSY-state-adjusted'!B9</f>
        <v>1</v>
      </c>
      <c r="C6">
        <f>'BCDTRtSY-state-adjusted'!C9</f>
        <v>1</v>
      </c>
      <c r="D6">
        <f>'BCDTRtSY-state-adjusted'!D9</f>
        <v>1.0078896761367611</v>
      </c>
      <c r="E6">
        <f>'BCDTRtSY-state-adjusted'!E9</f>
        <v>1.0085967600548864</v>
      </c>
      <c r="F6">
        <f>'BCDTRtSY-state-adjusted'!F9</f>
        <v>1.0031376551763898</v>
      </c>
      <c r="G6">
        <f>'BCDTRtSY-state-adjusted'!G9</f>
        <v>1.0000047830708998</v>
      </c>
      <c r="H6">
        <f>'BCDTRtSY-state-adjusted'!H9</f>
        <v>0.99908726203153486</v>
      </c>
      <c r="I6">
        <f>'BCDTRtSY-state-adjusted'!I9</f>
        <v>1.0000006529578265</v>
      </c>
      <c r="J6">
        <f>'BCDTRtSY-state-adjusted'!J9</f>
        <v>1.0031950205101408</v>
      </c>
      <c r="K6">
        <f>'BCDTRtSY-state-adjusted'!K9</f>
        <v>1.0075308475333773</v>
      </c>
      <c r="L6">
        <f>'BCDTRtSY-state-adjusted'!L9</f>
        <v>1.0130859382465904</v>
      </c>
      <c r="M6">
        <f>'BCDTRtSY-state-adjusted'!M9</f>
        <v>1.0199522065069049</v>
      </c>
      <c r="N6">
        <f>'BCDTRtSY-state-adjusted'!N9</f>
        <v>1.0235686587158783</v>
      </c>
      <c r="O6">
        <f>'BCDTRtSY-state-adjusted'!O9</f>
        <v>1.027125098019734</v>
      </c>
      <c r="P6">
        <f>'BCDTRtSY-state-adjusted'!P9</f>
        <v>1.0304026606182712</v>
      </c>
      <c r="Q6">
        <f>'BCDTRtSY-state-adjusted'!Q9</f>
        <v>1.0335009101100809</v>
      </c>
      <c r="R6">
        <f>'BCDTRtSY-state-adjusted'!R9</f>
        <v>1.036599821586391</v>
      </c>
      <c r="S6">
        <f>'BCDTRtSY-state-adjusted'!S9</f>
        <v>1.0393667986826618</v>
      </c>
      <c r="T6">
        <f>'BCDTRtSY-state-adjusted'!T9</f>
        <v>1.0425046320653322</v>
      </c>
      <c r="U6">
        <f>'BCDTRtSY-state-adjusted'!U9</f>
        <v>1.0458784443643065</v>
      </c>
      <c r="V6">
        <f>'BCDTRtSY-state-adjusted'!V9</f>
        <v>1.0491595809560328</v>
      </c>
      <c r="W6">
        <f>'BCDTRtSY-state-adjusted'!W9</f>
        <v>1.0523107306648545</v>
      </c>
      <c r="X6">
        <f>'BCDTRtSY-state-adjusted'!X9</f>
        <v>1.0548256835377197</v>
      </c>
      <c r="Y6">
        <f>'BCDTRtSY-state-adjusted'!Y9</f>
        <v>1.056481844136107</v>
      </c>
      <c r="Z6">
        <f>'BCDTRtSY-state-adjusted'!Z9</f>
        <v>1.0578607002373346</v>
      </c>
      <c r="AA6">
        <f>'BCDTRtSY-state-adjusted'!AA9</f>
        <v>1.0586815384863539</v>
      </c>
      <c r="AB6">
        <f>'BCDTRtSY-state-adjusted'!AB9</f>
        <v>1.0597074824773216</v>
      </c>
    </row>
    <row r="7" spans="1:28">
      <c r="A7" t="s">
        <v>123</v>
      </c>
      <c r="B7">
        <f>'BCDTRtSY-state-adjusted'!B10</f>
        <v>1</v>
      </c>
      <c r="C7">
        <f>'BCDTRtSY-state-adjusted'!C10</f>
        <v>1</v>
      </c>
      <c r="D7">
        <f>'BCDTRtSY-state-adjusted'!D10</f>
        <v>1.0118572740764002</v>
      </c>
      <c r="E7">
        <f>'BCDTRtSY-state-adjusted'!E10</f>
        <v>1.0259674675042856</v>
      </c>
      <c r="F7">
        <f>'BCDTRtSY-state-adjusted'!F10</f>
        <v>1.0371463439714717</v>
      </c>
      <c r="G7">
        <f>'BCDTRtSY-state-adjusted'!G10</f>
        <v>1.0481358945099084</v>
      </c>
      <c r="H7">
        <f>'BCDTRtSY-state-adjusted'!H10</f>
        <v>1.0580846653439955</v>
      </c>
      <c r="I7">
        <f>'BCDTRtSY-state-adjusted'!I10</f>
        <v>1.0707381493859898</v>
      </c>
      <c r="J7">
        <f>'BCDTRtSY-state-adjusted'!J10</f>
        <v>1.0834736431930527</v>
      </c>
      <c r="K7">
        <f>'BCDTRtSY-state-adjusted'!K10</f>
        <v>1.094620502010424</v>
      </c>
      <c r="L7">
        <f>'BCDTRtSY-state-adjusted'!L10</f>
        <v>1.1061506803459893</v>
      </c>
      <c r="M7">
        <f>'BCDTRtSY-state-adjusted'!M10</f>
        <v>1.1167165680517757</v>
      </c>
      <c r="N7">
        <f>'BCDTRtSY-state-adjusted'!N10</f>
        <v>1.1281470352960654</v>
      </c>
      <c r="O7">
        <f>'BCDTRtSY-state-adjusted'!O10</f>
        <v>1.1400767601900514</v>
      </c>
      <c r="P7">
        <f>'BCDTRtSY-state-adjusted'!P10</f>
        <v>1.151990885414456</v>
      </c>
      <c r="Q7">
        <f>'BCDTRtSY-state-adjusted'!Q10</f>
        <v>1.163119822035608</v>
      </c>
      <c r="R7">
        <f>'BCDTRtSY-state-adjusted'!R10</f>
        <v>1.1745086209403071</v>
      </c>
      <c r="S7">
        <f>'BCDTRtSY-state-adjusted'!S10</f>
        <v>1.1859580112619827</v>
      </c>
      <c r="T7">
        <f>'BCDTRtSY-state-adjusted'!T10</f>
        <v>1.1971180183641217</v>
      </c>
      <c r="U7">
        <f>'BCDTRtSY-state-adjusted'!U10</f>
        <v>1.2080202547720365</v>
      </c>
      <c r="V7">
        <f>'BCDTRtSY-state-adjusted'!V10</f>
        <v>1.2193152854140581</v>
      </c>
      <c r="W7">
        <f>'BCDTRtSY-state-adjusted'!W10</f>
        <v>1.2304673906660246</v>
      </c>
      <c r="X7">
        <f>'BCDTRtSY-state-adjusted'!X10</f>
        <v>1.2410841654403031</v>
      </c>
      <c r="Y7">
        <f>'BCDTRtSY-state-adjusted'!Y10</f>
        <v>1.2508344457753457</v>
      </c>
      <c r="Z7">
        <f>'BCDTRtSY-state-adjusted'!Z10</f>
        <v>1.2605095379008651</v>
      </c>
      <c r="AA7">
        <f>'BCDTRtSY-state-adjusted'!AA10</f>
        <v>1.2699830204959972</v>
      </c>
      <c r="AB7">
        <f>'BCDTRtSY-state-adjusted'!AB10</f>
        <v>1.2799232705655508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1.0019967990348326</v>
      </c>
      <c r="E2">
        <f>'BCDTRtSY-state-adjusted'!E13</f>
        <v>1.0094340028878106</v>
      </c>
      <c r="F2">
        <f>'BCDTRtSY-state-adjusted'!F13</f>
        <v>1.0164737594302771</v>
      </c>
      <c r="G2">
        <f>'BCDTRtSY-state-adjusted'!G13</f>
        <v>1.024686654795645</v>
      </c>
      <c r="H2">
        <f>'BCDTRtSY-state-adjusted'!H13</f>
        <v>1.0378200703002667</v>
      </c>
      <c r="I2">
        <f>'BCDTRtSY-state-adjusted'!I13</f>
        <v>1.0520985729420915</v>
      </c>
      <c r="J2">
        <f>'BCDTRtSY-state-adjusted'!J13</f>
        <v>1.068338498683552</v>
      </c>
      <c r="K2">
        <f>'BCDTRtSY-state-adjusted'!K13</f>
        <v>1.0833124691948977</v>
      </c>
      <c r="L2">
        <f>'BCDTRtSY-state-adjusted'!L13</f>
        <v>1.1004405325645739</v>
      </c>
      <c r="M2">
        <f>'BCDTRtSY-state-adjusted'!M13</f>
        <v>1.1184568579155796</v>
      </c>
      <c r="N2">
        <f>'BCDTRtSY-state-adjusted'!N13</f>
        <v>1.1369815841959667</v>
      </c>
      <c r="O2">
        <f>'BCDTRtSY-state-adjusted'!O13</f>
        <v>1.1570430636283928</v>
      </c>
      <c r="P2">
        <f>'BCDTRtSY-state-adjusted'!P13</f>
        <v>1.1786452452458618</v>
      </c>
      <c r="Q2">
        <f>'BCDTRtSY-state-adjusted'!Q13</f>
        <v>1.2008530458311426</v>
      </c>
      <c r="R2">
        <f>'BCDTRtSY-state-adjusted'!R13</f>
        <v>1.2238446712486126</v>
      </c>
      <c r="S2">
        <f>'BCDTRtSY-state-adjusted'!S13</f>
        <v>1.2466418343476418</v>
      </c>
      <c r="T2">
        <f>'BCDTRtSY-state-adjusted'!T13</f>
        <v>1.2689521290767898</v>
      </c>
      <c r="U2">
        <f>'BCDTRtSY-state-adjusted'!U13</f>
        <v>1.288485267944514</v>
      </c>
      <c r="V2">
        <f>'BCDTRtSY-state-adjusted'!V13</f>
        <v>1.3078562652423129</v>
      </c>
      <c r="W2">
        <f>'BCDTRtSY-state-adjusted'!W13</f>
        <v>1.3289885218835309</v>
      </c>
      <c r="X2">
        <f>'BCDTRtSY-state-adjusted'!X13</f>
        <v>1.3508585046763557</v>
      </c>
      <c r="Y2">
        <f>'BCDTRtSY-state-adjusted'!Y13</f>
        <v>1.3737424999722418</v>
      </c>
      <c r="Z2">
        <f>'BCDTRtSY-state-adjusted'!Z13</f>
        <v>1.3952775200168497</v>
      </c>
      <c r="AA2">
        <f>'BCDTRtSY-state-adjusted'!AA13</f>
        <v>1.4179454775311329</v>
      </c>
      <c r="AB2">
        <f>'BCDTRtSY-state-adjusted'!AB13</f>
        <v>1.4398693912800651</v>
      </c>
    </row>
    <row r="3" spans="1:28">
      <c r="A3" t="s">
        <v>118</v>
      </c>
      <c r="B3">
        <f>'BCDTRtSY-state-adjusted'!B14</f>
        <v>1</v>
      </c>
      <c r="C3">
        <f>'BCDTRtSY-state-adjusted'!C14</f>
        <v>1</v>
      </c>
      <c r="D3">
        <f>'BCDTRtSY-state-adjusted'!D14</f>
        <v>1.0167278485445062</v>
      </c>
      <c r="E3">
        <f>'BCDTRtSY-state-adjusted'!E14</f>
        <v>1.0378349797113342</v>
      </c>
      <c r="F3">
        <f>'BCDTRtSY-state-adjusted'!F14</f>
        <v>1.0582024735734872</v>
      </c>
      <c r="G3">
        <f>'BCDTRtSY-state-adjusted'!G14</f>
        <v>1.0760394324953675</v>
      </c>
      <c r="H3">
        <f>'BCDTRtSY-state-adjusted'!H14</f>
        <v>1.0964221637908491</v>
      </c>
      <c r="I3">
        <f>'BCDTRtSY-state-adjusted'!I14</f>
        <v>1.1150217773283186</v>
      </c>
      <c r="J3">
        <f>'BCDTRtSY-state-adjusted'!J14</f>
        <v>1.1347187024039997</v>
      </c>
      <c r="K3">
        <f>'BCDTRtSY-state-adjusted'!K14</f>
        <v>1.1522454640219955</v>
      </c>
      <c r="L3">
        <f>'BCDTRtSY-state-adjusted'!L14</f>
        <v>1.1712306874020619</v>
      </c>
      <c r="M3">
        <f>'BCDTRtSY-state-adjusted'!M14</f>
        <v>1.1902055413892143</v>
      </c>
      <c r="N3">
        <f>'BCDTRtSY-state-adjusted'!N14</f>
        <v>1.2084384576514582</v>
      </c>
      <c r="O3">
        <f>'BCDTRtSY-state-adjusted'!O14</f>
        <v>1.2260197269317938</v>
      </c>
      <c r="P3">
        <f>'BCDTRtSY-state-adjusted'!P14</f>
        <v>1.2425802115476561</v>
      </c>
      <c r="Q3">
        <f>'BCDTRtSY-state-adjusted'!Q14</f>
        <v>1.2585856349013174</v>
      </c>
      <c r="R3">
        <f>'BCDTRtSY-state-adjusted'!R14</f>
        <v>1.2748651463211167</v>
      </c>
      <c r="S3">
        <f>'BCDTRtSY-state-adjusted'!S14</f>
        <v>1.2916751605363315</v>
      </c>
      <c r="T3">
        <f>'BCDTRtSY-state-adjusted'!T14</f>
        <v>1.3079677587340495</v>
      </c>
      <c r="U3">
        <f>'BCDTRtSY-state-adjusted'!U14</f>
        <v>1.3231598274260972</v>
      </c>
      <c r="V3">
        <f>'BCDTRtSY-state-adjusted'!V14</f>
        <v>1.3387850455480432</v>
      </c>
      <c r="W3">
        <f>'BCDTRtSY-state-adjusted'!W14</f>
        <v>1.3567000540547447</v>
      </c>
      <c r="X3">
        <f>'BCDTRtSY-state-adjusted'!X14</f>
        <v>1.37497496207612</v>
      </c>
      <c r="Y3">
        <f>'BCDTRtSY-state-adjusted'!Y14</f>
        <v>1.3932479796662864</v>
      </c>
      <c r="Z3">
        <f>'BCDTRtSY-state-adjusted'!Z14</f>
        <v>1.409046797762963</v>
      </c>
      <c r="AA3">
        <f>'BCDTRtSY-state-adjusted'!AA14</f>
        <v>1.4248179752174603</v>
      </c>
      <c r="AB3">
        <f>'BCDTRtSY-state-adjusted'!AB14</f>
        <v>1.4399554192426178</v>
      </c>
    </row>
    <row r="4" spans="1:28">
      <c r="A4" t="s">
        <v>116</v>
      </c>
      <c r="B4">
        <f>'BCDTRtSY-state-adjusted'!B15</f>
        <v>1</v>
      </c>
      <c r="C4">
        <f>'BCDTRtSY-state-adjusted'!C15</f>
        <v>1</v>
      </c>
      <c r="D4">
        <f>'BCDTRtSY-state-adjusted'!D15</f>
        <v>1.0328928900657428</v>
      </c>
      <c r="E4">
        <f>'BCDTRtSY-state-adjusted'!E15</f>
        <v>1.058208868941523</v>
      </c>
      <c r="F4">
        <f>'BCDTRtSY-state-adjusted'!F15</f>
        <v>1.0771337251800197</v>
      </c>
      <c r="G4">
        <f>'BCDTRtSY-state-adjusted'!G15</f>
        <v>1.0999565834039453</v>
      </c>
      <c r="H4">
        <f>'BCDTRtSY-state-adjusted'!H15</f>
        <v>1.1260051143037118</v>
      </c>
      <c r="I4">
        <f>'BCDTRtSY-state-adjusted'!I15</f>
        <v>1.1546365327231265</v>
      </c>
      <c r="J4">
        <f>'BCDTRtSY-state-adjusted'!J15</f>
        <v>1.186840885978711</v>
      </c>
      <c r="K4">
        <f>'BCDTRtSY-state-adjusted'!K15</f>
        <v>1.2209622531990028</v>
      </c>
      <c r="L4">
        <f>'BCDTRtSY-state-adjusted'!L15</f>
        <v>1.2573693325096016</v>
      </c>
      <c r="M4">
        <f>'BCDTRtSY-state-adjusted'!M15</f>
        <v>1.2962360308525185</v>
      </c>
      <c r="N4">
        <f>'BCDTRtSY-state-adjusted'!N15</f>
        <v>1.3306686748807388</v>
      </c>
      <c r="O4">
        <f>'BCDTRtSY-state-adjusted'!O15</f>
        <v>1.365680227274271</v>
      </c>
      <c r="P4">
        <f>'BCDTRtSY-state-adjusted'!P15</f>
        <v>1.4010259696523473</v>
      </c>
      <c r="Q4">
        <f>'BCDTRtSY-state-adjusted'!Q15</f>
        <v>1.4361295339080478</v>
      </c>
      <c r="R4">
        <f>'BCDTRtSY-state-adjusted'!R15</f>
        <v>1.472089605846624</v>
      </c>
      <c r="S4">
        <f>'BCDTRtSY-state-adjusted'!S15</f>
        <v>1.5083389361793635</v>
      </c>
      <c r="T4">
        <f>'BCDTRtSY-state-adjusted'!T15</f>
        <v>1.5459548908932477</v>
      </c>
      <c r="U4">
        <f>'BCDTRtSY-state-adjusted'!U15</f>
        <v>1.5851590420606652</v>
      </c>
      <c r="V4">
        <f>'BCDTRtSY-state-adjusted'!V15</f>
        <v>1.6248675530069756</v>
      </c>
      <c r="W4">
        <f>'BCDTRtSY-state-adjusted'!W15</f>
        <v>1.6652500219026158</v>
      </c>
      <c r="X4">
        <f>'BCDTRtSY-state-adjusted'!X15</f>
        <v>1.7053868271284587</v>
      </c>
      <c r="Y4">
        <f>'BCDTRtSY-state-adjusted'!Y15</f>
        <v>1.744472326447049</v>
      </c>
      <c r="Z4">
        <f>'BCDTRtSY-state-adjusted'!Z15</f>
        <v>1.7842542663726428</v>
      </c>
      <c r="AA4">
        <f>'BCDTRtSY-state-adjusted'!AA15</f>
        <v>1.8237021270998304</v>
      </c>
      <c r="AB4">
        <f>'BCDTRtSY-state-adjusted'!AB15</f>
        <v>1.864131857756264</v>
      </c>
    </row>
    <row r="5" spans="1:28">
      <c r="A5" t="s">
        <v>121</v>
      </c>
      <c r="B5">
        <f>'BCDTRtSY-state-adjusted'!B16</f>
        <v>1</v>
      </c>
      <c r="C5">
        <f>'BCDTRtSY-state-adjusted'!C16</f>
        <v>1</v>
      </c>
      <c r="D5">
        <f>'BCDTRtSY-state-adjusted'!D16</f>
        <v>0.98304094735426473</v>
      </c>
      <c r="E5">
        <f>'BCDTRtSY-state-adjusted'!E16</f>
        <v>1.0206366541987133</v>
      </c>
      <c r="F5">
        <f>'BCDTRtSY-state-adjusted'!F16</f>
        <v>1.0054443871361791</v>
      </c>
      <c r="G5">
        <f>'BCDTRtSY-state-adjusted'!G16</f>
        <v>1.0031617739620819</v>
      </c>
      <c r="H5">
        <f>'BCDTRtSY-state-adjusted'!H16</f>
        <v>1.0154938272429475</v>
      </c>
      <c r="I5">
        <f>'BCDTRtSY-state-adjusted'!I16</f>
        <v>0.9973470012507466</v>
      </c>
      <c r="J5">
        <f>'BCDTRtSY-state-adjusted'!J16</f>
        <v>1.0094257449876072</v>
      </c>
      <c r="K5">
        <f>'BCDTRtSY-state-adjusted'!K16</f>
        <v>1.0216922245369009</v>
      </c>
      <c r="L5">
        <f>'BCDTRtSY-state-adjusted'!L16</f>
        <v>1.026625618133135</v>
      </c>
      <c r="M5">
        <f>'BCDTRtSY-state-adjusted'!M16</f>
        <v>1.0378015282530322</v>
      </c>
      <c r="N5">
        <f>'BCDTRtSY-state-adjusted'!N16</f>
        <v>1.0480657362618118</v>
      </c>
      <c r="O5">
        <f>'BCDTRtSY-state-adjusted'!O16</f>
        <v>1.0598323275607944</v>
      </c>
      <c r="P5">
        <f>'BCDTRtSY-state-adjusted'!P16</f>
        <v>1.068029554972961</v>
      </c>
      <c r="Q5">
        <f>'BCDTRtSY-state-adjusted'!Q16</f>
        <v>1.0779302130078789</v>
      </c>
      <c r="R5">
        <f>'BCDTRtSY-state-adjusted'!R16</f>
        <v>1.0867215854668766</v>
      </c>
      <c r="S5">
        <f>'BCDTRtSY-state-adjusted'!S16</f>
        <v>1.0940520231587321</v>
      </c>
      <c r="T5">
        <f>'BCDTRtSY-state-adjusted'!T16</f>
        <v>1.0989396738741806</v>
      </c>
      <c r="U5">
        <f>'BCDTRtSY-state-adjusted'!U16</f>
        <v>1.1044779276926107</v>
      </c>
      <c r="V5">
        <f>'BCDTRtSY-state-adjusted'!V16</f>
        <v>1.1127956302225608</v>
      </c>
      <c r="W5">
        <f>'BCDTRtSY-state-adjusted'!W16</f>
        <v>1.1204006530196529</v>
      </c>
      <c r="X5">
        <f>'BCDTRtSY-state-adjusted'!X16</f>
        <v>1.1309160240560467</v>
      </c>
      <c r="Y5">
        <f>'BCDTRtSY-state-adjusted'!Y16</f>
        <v>1.1457751817730846</v>
      </c>
      <c r="Z5">
        <f>'BCDTRtSY-state-adjusted'!Z16</f>
        <v>1.1576059836816661</v>
      </c>
      <c r="AA5">
        <f>'BCDTRtSY-state-adjusted'!AA16</f>
        <v>1.1624637339393746</v>
      </c>
      <c r="AB5">
        <f>'BCDTRtSY-state-adjusted'!AB16</f>
        <v>1.1680528627033779</v>
      </c>
    </row>
    <row r="6" spans="1:28">
      <c r="A6" t="s">
        <v>122</v>
      </c>
      <c r="B6">
        <f>'BCDTRtSY-state-adjusted'!B17</f>
        <v>1</v>
      </c>
      <c r="C6">
        <f>'BCDTRtSY-state-adjusted'!C17</f>
        <v>1</v>
      </c>
      <c r="D6">
        <f>'BCDTRtSY-state-adjusted'!D17</f>
        <v>0.99800009441407667</v>
      </c>
      <c r="E6">
        <f>'BCDTRtSY-state-adjusted'!E17</f>
        <v>1.0231828702229093</v>
      </c>
      <c r="F6">
        <f>'BCDTRtSY-state-adjusted'!F17</f>
        <v>1.0506081849624831</v>
      </c>
      <c r="G6">
        <f>'BCDTRtSY-state-adjusted'!G17</f>
        <v>1.0747899217281687</v>
      </c>
      <c r="H6">
        <f>'BCDTRtSY-state-adjusted'!H17</f>
        <v>1.100085451553239</v>
      </c>
      <c r="I6">
        <f>'BCDTRtSY-state-adjusted'!I17</f>
        <v>1.1267881659605599</v>
      </c>
      <c r="J6">
        <f>'BCDTRtSY-state-adjusted'!J17</f>
        <v>1.1558852650151505</v>
      </c>
      <c r="K6">
        <f>'BCDTRtSY-state-adjusted'!K17</f>
        <v>1.1855731429420753</v>
      </c>
      <c r="L6">
        <f>'BCDTRtSY-state-adjusted'!L17</f>
        <v>1.2163115898848338</v>
      </c>
      <c r="M6">
        <f>'BCDTRtSY-state-adjusted'!M17</f>
        <v>1.2484278154525754</v>
      </c>
      <c r="N6">
        <f>'BCDTRtSY-state-adjusted'!N17</f>
        <v>1.2765048066771985</v>
      </c>
      <c r="O6">
        <f>'BCDTRtSY-state-adjusted'!O17</f>
        <v>1.3011672514779551</v>
      </c>
      <c r="P6">
        <f>'BCDTRtSY-state-adjusted'!P17</f>
        <v>1.3260012162212316</v>
      </c>
      <c r="Q6">
        <f>'BCDTRtSY-state-adjusted'!Q17</f>
        <v>1.3497030800500487</v>
      </c>
      <c r="R6">
        <f>'BCDTRtSY-state-adjusted'!R17</f>
        <v>1.3736556580544592</v>
      </c>
      <c r="S6">
        <f>'BCDTRtSY-state-adjusted'!S17</f>
        <v>1.3981404336370467</v>
      </c>
      <c r="T6">
        <f>'BCDTRtSY-state-adjusted'!T17</f>
        <v>1.4240229290356257</v>
      </c>
      <c r="U6">
        <f>'BCDTRtSY-state-adjusted'!U17</f>
        <v>1.4496269846315688</v>
      </c>
      <c r="V6">
        <f>'BCDTRtSY-state-adjusted'!V17</f>
        <v>1.4752550513035996</v>
      </c>
      <c r="W6">
        <f>'BCDTRtSY-state-adjusted'!W17</f>
        <v>1.5026524216920432</v>
      </c>
      <c r="X6">
        <f>'BCDTRtSY-state-adjusted'!X17</f>
        <v>1.5304498738447663</v>
      </c>
      <c r="Y6">
        <f>'BCDTRtSY-state-adjusted'!Y17</f>
        <v>1.5586925142739279</v>
      </c>
      <c r="Z6">
        <f>'BCDTRtSY-state-adjusted'!Z17</f>
        <v>1.5862379850630546</v>
      </c>
      <c r="AA6">
        <f>'BCDTRtSY-state-adjusted'!AA17</f>
        <v>1.6136199289567184</v>
      </c>
      <c r="AB6">
        <f>'BCDTRtSY-state-adjusted'!AB17</f>
        <v>1.6429451599396658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2026-08-14T21:49:21Z</dcterms:modified>
</cp:coreProperties>
</file>