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6B6FC0AC-F207-4533-9BA4-3ACEF8A52D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9" i="7" l="1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62" i="10" l="1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<sst xmlns="http://schemas.openxmlformats.org/spreadsheetml/2006/main" count="1579" uniqueCount="340">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</sst>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90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NV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65600</v>
      </c>
      <c r="C2">
        <f>SUMIFS(SYVbT_all!$D$4:$D$291,SYVbT_all!$A$4:$A$291,About!$B$2,SYVbT_all!$B$4:$B$291,$A2)</f>
        <v>200</v>
      </c>
      <c r="D2">
        <f>SUMIFS(SYVbT_all!$E$4:$E$291,SYVbT_all!$A$4:$A$291,About!$B$2,SYVbT_all!$B$4:$B$291,$A2)</f>
        <v>2079840</v>
      </c>
      <c r="E2">
        <f>SUMIFS(SYVbT_all!$F$4:$F$291,SYVbT_all!$A$4:$A$291,About!$B$2,SYVbT_all!$B$4:$B$291,$A2)</f>
        <v>17693</v>
      </c>
      <c r="F2">
        <f>SUMIFS(SYVbT_all!$G$4:$G$291,SYVbT_all!$A$4:$A$291,About!$B$2,SYVbT_all!$B$4:$B$291,$A2)</f>
        <v>13400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2</v>
      </c>
      <c r="C3">
        <f>SUMIFS(SYVbT_all!$D$4:$D$291,SYVbT_all!$A$4:$A$291,About!$B$2,SYVbT_all!$B$4:$B$291,$A3)</f>
        <v>937</v>
      </c>
      <c r="D3">
        <f>SUMIFS(SYVbT_all!$E$4:$E$291,SYVbT_all!$A$4:$A$291,About!$B$2,SYVbT_all!$B$4:$B$291,$A3)</f>
        <v>738</v>
      </c>
      <c r="E3">
        <f>SUMIFS(SYVbT_all!$F$4:$F$291,SYVbT_all!$A$4:$A$291,About!$B$2,SYVbT_all!$B$4:$B$291,$A3)</f>
        <v>5860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343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203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41543</v>
      </c>
      <c r="E6">
        <f>SUMIFS(SYVbT_all!$F$4:$F$291,SYVbT_all!$A$4:$A$291,About!$B$2,SYVbT_all!$B$4:$B$291,$A6)</f>
        <v>10127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87702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0.67200277002442421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0.67200277002442421</v>
      </c>
      <c r="K10" s="2">
        <f t="shared" ref="K10:AI10" si="1">IF($G10="s-curve",$E10+($F10-$E10)*K$98,TREND($E10:$F10,$E$9:$F$9,K$9))</f>
        <v>0.67609720893938252</v>
      </c>
      <c r="L10" s="2">
        <f t="shared" si="1"/>
        <v>0.68146708800504929</v>
      </c>
      <c r="M10" s="2">
        <f t="shared" si="1"/>
        <v>0.68844365239130356</v>
      </c>
      <c r="N10" s="2">
        <f t="shared" si="1"/>
        <v>0.6973974756957515</v>
      </c>
      <c r="O10" s="2">
        <f t="shared" si="1"/>
        <v>0.70871032478820928</v>
      </c>
      <c r="P10" s="2">
        <f t="shared" si="1"/>
        <v>0.72272416478848678</v>
      </c>
      <c r="Q10" s="2">
        <f t="shared" si="1"/>
        <v>0.73966522978407823</v>
      </c>
      <c r="R10" s="2">
        <f t="shared" si="1"/>
        <v>0.75955091146405673</v>
      </c>
      <c r="S10" s="2">
        <f t="shared" si="1"/>
        <v>0.78210225120140231</v>
      </c>
      <c r="T10" s="2">
        <f t="shared" si="1"/>
        <v>0.80669847940936068</v>
      </c>
      <c r="U10" s="2">
        <f t="shared" si="1"/>
        <v>0.83240986405744222</v>
      </c>
      <c r="V10" s="2">
        <f t="shared" si="1"/>
        <v>0.85812124870552375</v>
      </c>
      <c r="W10" s="2">
        <f t="shared" si="1"/>
        <v>0.88271747691348201</v>
      </c>
      <c r="X10" s="2">
        <f t="shared" si="1"/>
        <v>0.90526881665082759</v>
      </c>
      <c r="Y10" s="2">
        <f t="shared" si="1"/>
        <v>0.9251544983308061</v>
      </c>
      <c r="Z10" s="2">
        <f t="shared" si="1"/>
        <v>0.94209556332639766</v>
      </c>
      <c r="AA10" s="2">
        <f t="shared" si="1"/>
        <v>0.95610940332667527</v>
      </c>
      <c r="AB10" s="2">
        <f t="shared" si="1"/>
        <v>0.96742225241913282</v>
      </c>
      <c r="AC10" s="2">
        <f t="shared" si="1"/>
        <v>0.97637607572358087</v>
      </c>
      <c r="AD10" s="2">
        <f t="shared" si="1"/>
        <v>0.98335264010983514</v>
      </c>
      <c r="AE10" s="2">
        <f t="shared" si="1"/>
        <v>0.98872251917550202</v>
      </c>
      <c r="AF10" s="2">
        <f t="shared" si="1"/>
        <v>0.99281695809046022</v>
      </c>
      <c r="AG10" s="2">
        <f t="shared" si="1"/>
        <v>0.9959165174192357</v>
      </c>
      <c r="AH10" s="2">
        <f t="shared" si="1"/>
        <v>0.99825018113069341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4.4574546552009223E-2</v>
      </c>
      <c r="F14" s="2">
        <f>E14/E10*F10</f>
        <v>6.6330897044351675E-2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4.4574546552009223E-2</v>
      </c>
      <c r="K14" s="2">
        <f t="shared" ref="K14:AI14" si="2">IF($G14="s-curve",$E14+($F14-$E14)*K$99,TREND($E14:$F14,$E$9:$F$9,K$9))</f>
        <v>4.470403796311595E-2</v>
      </c>
      <c r="L14" s="2">
        <f t="shared" si="2"/>
        <v>4.4894387118765373E-2</v>
      </c>
      <c r="M14" s="2">
        <f t="shared" si="2"/>
        <v>4.5172230239859369E-2</v>
      </c>
      <c r="N14" s="2">
        <f t="shared" si="2"/>
        <v>4.5573639260282857E-2</v>
      </c>
      <c r="O14" s="2">
        <f t="shared" si="2"/>
        <v>4.614504417418791E-2</v>
      </c>
      <c r="P14" s="2">
        <f t="shared" si="2"/>
        <v>4.6941524879542389E-2</v>
      </c>
      <c r="Q14" s="2">
        <f t="shared" si="2"/>
        <v>4.8019821979076845E-2</v>
      </c>
      <c r="R14" s="2">
        <f t="shared" si="2"/>
        <v>4.9423405439194032E-2</v>
      </c>
      <c r="S14" s="2">
        <f t="shared" si="2"/>
        <v>5.1159830879818194E-2</v>
      </c>
      <c r="T14" s="2">
        <f t="shared" si="2"/>
        <v>5.3177808578426425E-2</v>
      </c>
      <c r="U14" s="2">
        <f t="shared" si="2"/>
        <v>5.535938851537793E-2</v>
      </c>
      <c r="V14" s="2">
        <f t="shared" si="2"/>
        <v>5.7540968452329443E-2</v>
      </c>
      <c r="W14" s="2">
        <f t="shared" si="2"/>
        <v>5.9558946150937681E-2</v>
      </c>
      <c r="X14" s="2">
        <f t="shared" si="2"/>
        <v>6.1295371591561842E-2</v>
      </c>
      <c r="Y14" s="2">
        <f t="shared" si="2"/>
        <v>6.2698955051679023E-2</v>
      </c>
      <c r="Z14" s="2">
        <f t="shared" si="2"/>
        <v>6.3777252151213479E-2</v>
      </c>
      <c r="AA14" s="2">
        <f t="shared" si="2"/>
        <v>6.457373285656795E-2</v>
      </c>
      <c r="AB14" s="2">
        <f t="shared" si="2"/>
        <v>6.5145137770473011E-2</v>
      </c>
      <c r="AC14" s="2">
        <f t="shared" si="2"/>
        <v>6.5546546790896498E-2</v>
      </c>
      <c r="AD14" s="2">
        <f t="shared" si="2"/>
        <v>6.5824389911990494E-2</v>
      </c>
      <c r="AE14" s="2">
        <f t="shared" si="2"/>
        <v>6.601473906763991E-2</v>
      </c>
      <c r="AF14" s="2">
        <f t="shared" si="2"/>
        <v>6.6144230478746638E-2</v>
      </c>
      <c r="AG14" s="2">
        <f t="shared" si="2"/>
        <v>6.6231899483734522E-2</v>
      </c>
      <c r="AH14" s="2">
        <f t="shared" si="2"/>
        <v>6.6291060901158549E-2</v>
      </c>
      <c r="AI14" s="2">
        <f t="shared" si="2"/>
        <v>6.6330897044351675E-2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0.67200277002442421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0.67200277002442421</v>
      </c>
      <c r="J80" s="2">
        <f>$E80</f>
        <v>0.67200277002442421</v>
      </c>
      <c r="K80" s="2">
        <f t="shared" ref="K80:AI80" si="13">IF($G80="s-curve",$E80+($F80-$E80)*K$98,TREND($E80:$F80,$E$9:$F$9,K$9))</f>
        <v>0.67609720893938252</v>
      </c>
      <c r="L80" s="2">
        <f t="shared" si="13"/>
        <v>0.68146708800504929</v>
      </c>
      <c r="M80" s="2">
        <f t="shared" si="13"/>
        <v>0.68844365239130356</v>
      </c>
      <c r="N80" s="2">
        <f t="shared" si="13"/>
        <v>0.6973974756957515</v>
      </c>
      <c r="O80" s="2">
        <f t="shared" si="13"/>
        <v>0.70871032478820928</v>
      </c>
      <c r="P80" s="2">
        <f t="shared" si="13"/>
        <v>0.72272416478848678</v>
      </c>
      <c r="Q80" s="2">
        <f t="shared" si="13"/>
        <v>0.73966522978407823</v>
      </c>
      <c r="R80" s="2">
        <f t="shared" si="13"/>
        <v>0.75955091146405673</v>
      </c>
      <c r="S80" s="2">
        <f t="shared" si="13"/>
        <v>0.78210225120140231</v>
      </c>
      <c r="T80" s="2">
        <f t="shared" si="13"/>
        <v>0.80669847940936068</v>
      </c>
      <c r="U80" s="2">
        <f t="shared" si="13"/>
        <v>0.83240986405744222</v>
      </c>
      <c r="V80" s="2">
        <f t="shared" si="13"/>
        <v>0.85812124870552375</v>
      </c>
      <c r="W80" s="2">
        <f t="shared" si="13"/>
        <v>0.88271747691348201</v>
      </c>
      <c r="X80" s="2">
        <f t="shared" si="13"/>
        <v>0.90526881665082759</v>
      </c>
      <c r="Y80" s="2">
        <f t="shared" si="13"/>
        <v>0.9251544983308061</v>
      </c>
      <c r="Z80" s="2">
        <f t="shared" si="13"/>
        <v>0.94209556332639766</v>
      </c>
      <c r="AA80" s="2">
        <f t="shared" si="13"/>
        <v>0.95610940332667527</v>
      </c>
      <c r="AB80" s="2">
        <f t="shared" si="13"/>
        <v>0.96742225241913282</v>
      </c>
      <c r="AC80" s="2">
        <f t="shared" si="13"/>
        <v>0.97637607572358087</v>
      </c>
      <c r="AD80" s="2">
        <f t="shared" si="13"/>
        <v>0.98335264010983514</v>
      </c>
      <c r="AE80" s="2">
        <f t="shared" si="13"/>
        <v>0.98872251917550202</v>
      </c>
      <c r="AF80" s="2">
        <f t="shared" si="13"/>
        <v>0.99281695809046022</v>
      </c>
      <c r="AG80" s="2">
        <f t="shared" si="13"/>
        <v>0.9959165174192357</v>
      </c>
      <c r="AH80" s="2">
        <f t="shared" si="13"/>
        <v>0.99825018113069341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4.4574546552009223E-2</v>
      </c>
      <c r="F84">
        <f t="shared" si="12"/>
        <v>6.6330897044351675E-2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4.4574546552009223E-2</v>
      </c>
      <c r="J84" s="2">
        <f>$E84</f>
        <v>4.4574546552009223E-2</v>
      </c>
      <c r="K84" s="2">
        <f t="shared" ref="K84:AI84" si="14">IF($G84="s-curve",$E84+($F84-$E84)*K$97,TREND($E84:$F84,$E$9:$F$9,K$9))</f>
        <v>4.4640700489472919E-2</v>
      </c>
      <c r="L84" s="2">
        <f t="shared" si="14"/>
        <v>4.4729403712481547E-2</v>
      </c>
      <c r="M84" s="2">
        <f t="shared" si="14"/>
        <v>4.4848068689361253E-2</v>
      </c>
      <c r="N84" s="2">
        <f t="shared" si="14"/>
        <v>4.5006327441294181E-2</v>
      </c>
      <c r="O84" s="2">
        <f t="shared" si="14"/>
        <v>4.5216525846705241E-2</v>
      </c>
      <c r="P84" s="2">
        <f t="shared" si="14"/>
        <v>4.5494192585646874E-2</v>
      </c>
      <c r="Q84" s="2">
        <f t="shared" si="14"/>
        <v>4.5858354034784006E-2</v>
      </c>
      <c r="R84" s="2">
        <f t="shared" si="14"/>
        <v>4.633147377655631E-2</v>
      </c>
      <c r="S84" s="2">
        <f t="shared" si="14"/>
        <v>4.6938682473436098E-2</v>
      </c>
      <c r="T84" s="2">
        <f t="shared" si="14"/>
        <v>4.7705869866112971E-2</v>
      </c>
      <c r="U84" s="2">
        <f t="shared" si="14"/>
        <v>4.8656226516620375E-2</v>
      </c>
      <c r="V84" s="2">
        <f t="shared" si="14"/>
        <v>4.9805094620217934E-2</v>
      </c>
      <c r="W84" s="2">
        <f t="shared" si="14"/>
        <v>5.1153653604341237E-2</v>
      </c>
      <c r="X84" s="2">
        <f t="shared" si="14"/>
        <v>5.2682985728642197E-2</v>
      </c>
      <c r="Y84" s="2">
        <f t="shared" si="14"/>
        <v>5.4350993145193829E-2</v>
      </c>
      <c r="Z84" s="2">
        <f t="shared" si="14"/>
        <v>5.6094625539567844E-2</v>
      </c>
      <c r="AA84" s="2">
        <f t="shared" si="14"/>
        <v>5.7838257933941845E-2</v>
      </c>
      <c r="AB84" s="2">
        <f t="shared" si="14"/>
        <v>5.9506265350493484E-2</v>
      </c>
      <c r="AC84" s="2">
        <f t="shared" si="14"/>
        <v>6.1035597474794444E-2</v>
      </c>
      <c r="AD84" s="2">
        <f t="shared" si="14"/>
        <v>6.2384156458917747E-2</v>
      </c>
      <c r="AE84" s="2">
        <f t="shared" si="14"/>
        <v>6.3533024562515306E-2</v>
      </c>
      <c r="AF84" s="2">
        <f t="shared" si="14"/>
        <v>6.4483381213022717E-2</v>
      </c>
      <c r="AG84" s="2">
        <f t="shared" si="14"/>
        <v>6.5250568605699583E-2</v>
      </c>
      <c r="AH84" s="2">
        <f t="shared" si="14"/>
        <v>6.5857777302579371E-2</v>
      </c>
      <c r="AI84" s="2">
        <f t="shared" si="14"/>
        <v>6.6330897044351675E-2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0.67200277002442421</v>
      </c>
      <c r="C2">
        <f>Data!K10</f>
        <v>0.67609720893938252</v>
      </c>
      <c r="D2">
        <f>Data!L10</f>
        <v>0.68146708800504929</v>
      </c>
      <c r="E2">
        <f>Data!M10</f>
        <v>0.68844365239130356</v>
      </c>
      <c r="F2">
        <f>Data!N10</f>
        <v>0.6973974756957515</v>
      </c>
      <c r="G2">
        <f>Data!O10</f>
        <v>0.70871032478820928</v>
      </c>
      <c r="H2">
        <f>Data!P10</f>
        <v>0.72272416478848678</v>
      </c>
      <c r="I2">
        <f>Data!Q10</f>
        <v>0.73966522978407823</v>
      </c>
      <c r="J2">
        <f>Data!R10</f>
        <v>0.75955091146405673</v>
      </c>
      <c r="K2">
        <f>Data!S10</f>
        <v>0.78210225120140231</v>
      </c>
      <c r="L2">
        <f>Data!T10</f>
        <v>0.80669847940936068</v>
      </c>
      <c r="M2">
        <f>Data!U10</f>
        <v>0.83240986405744222</v>
      </c>
      <c r="N2">
        <f>Data!V10</f>
        <v>0.85812124870552375</v>
      </c>
      <c r="O2">
        <f>Data!W10</f>
        <v>0.88271747691348201</v>
      </c>
      <c r="P2">
        <f>Data!X10</f>
        <v>0.90526881665082759</v>
      </c>
      <c r="Q2">
        <f>Data!Y10</f>
        <v>0.9251544983308061</v>
      </c>
      <c r="R2">
        <f>Data!Z10</f>
        <v>0.94209556332639766</v>
      </c>
      <c r="S2">
        <f>Data!AA10</f>
        <v>0.95610940332667527</v>
      </c>
      <c r="T2">
        <f>Data!AB10</f>
        <v>0.96742225241913282</v>
      </c>
      <c r="U2">
        <f>Data!AC10</f>
        <v>0.97637607572358087</v>
      </c>
      <c r="V2">
        <f>Data!AD10</f>
        <v>0.98335264010983514</v>
      </c>
      <c r="W2">
        <f>Data!AE10</f>
        <v>0.98872251917550202</v>
      </c>
      <c r="X2">
        <f>Data!AF10</f>
        <v>0.99281695809046022</v>
      </c>
      <c r="Y2">
        <f>Data!AG10</f>
        <v>0.9959165174192357</v>
      </c>
      <c r="Z2">
        <f>Data!AH10</f>
        <v>0.99825018113069341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4.4574546552009223E-2</v>
      </c>
      <c r="C6">
        <f>Data!K14</f>
        <v>4.470403796311595E-2</v>
      </c>
      <c r="D6">
        <f>Data!L14</f>
        <v>4.4894387118765373E-2</v>
      </c>
      <c r="E6">
        <f>Data!M14</f>
        <v>4.5172230239859369E-2</v>
      </c>
      <c r="F6">
        <f>Data!N14</f>
        <v>4.5573639260282857E-2</v>
      </c>
      <c r="G6">
        <f>Data!O14</f>
        <v>4.614504417418791E-2</v>
      </c>
      <c r="H6">
        <f>Data!P14</f>
        <v>4.6941524879542389E-2</v>
      </c>
      <c r="I6">
        <f>Data!Q14</f>
        <v>4.8019821979076845E-2</v>
      </c>
      <c r="J6">
        <f>Data!R14</f>
        <v>4.9423405439194032E-2</v>
      </c>
      <c r="K6">
        <f>Data!S14</f>
        <v>5.1159830879818194E-2</v>
      </c>
      <c r="L6">
        <f>Data!T14</f>
        <v>5.3177808578426425E-2</v>
      </c>
      <c r="M6">
        <f>Data!U14</f>
        <v>5.535938851537793E-2</v>
      </c>
      <c r="N6">
        <f>Data!V14</f>
        <v>5.7540968452329443E-2</v>
      </c>
      <c r="O6">
        <f>Data!W14</f>
        <v>5.9558946150937681E-2</v>
      </c>
      <c r="P6">
        <f>Data!X14</f>
        <v>6.1295371591561842E-2</v>
      </c>
      <c r="Q6">
        <f>Data!Y14</f>
        <v>6.2698955051679023E-2</v>
      </c>
      <c r="R6">
        <f>Data!Z14</f>
        <v>6.3777252151213479E-2</v>
      </c>
      <c r="S6">
        <f>Data!AA14</f>
        <v>6.457373285656795E-2</v>
      </c>
      <c r="T6">
        <f>Data!AB14</f>
        <v>6.5145137770473011E-2</v>
      </c>
      <c r="U6">
        <f>Data!AC14</f>
        <v>6.5546546790896498E-2</v>
      </c>
      <c r="V6">
        <f>Data!AD14</f>
        <v>6.5824389911990494E-2</v>
      </c>
      <c r="W6">
        <f>Data!AE14</f>
        <v>6.601473906763991E-2</v>
      </c>
      <c r="X6">
        <f>Data!AF14</f>
        <v>6.6144230478746638E-2</v>
      </c>
      <c r="Y6">
        <f>Data!AG14</f>
        <v>6.6231899483734522E-2</v>
      </c>
      <c r="Z6">
        <f>Data!AH14</f>
        <v>6.6291060901158549E-2</v>
      </c>
      <c r="AA6">
        <f>Data!AI14</f>
        <v>6.6330897044351675E-2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0.67200277002442421</v>
      </c>
      <c r="C2">
        <f>Data!K80</f>
        <v>0.67609720893938252</v>
      </c>
      <c r="D2">
        <f>Data!L80</f>
        <v>0.68146708800504929</v>
      </c>
      <c r="E2">
        <f>Data!M80</f>
        <v>0.68844365239130356</v>
      </c>
      <c r="F2">
        <f>Data!N80</f>
        <v>0.6973974756957515</v>
      </c>
      <c r="G2">
        <f>Data!O80</f>
        <v>0.70871032478820928</v>
      </c>
      <c r="H2">
        <f>Data!P80</f>
        <v>0.72272416478848678</v>
      </c>
      <c r="I2">
        <f>Data!Q80</f>
        <v>0.73966522978407823</v>
      </c>
      <c r="J2">
        <f>Data!R80</f>
        <v>0.75955091146405673</v>
      </c>
      <c r="K2">
        <f>Data!S80</f>
        <v>0.78210225120140231</v>
      </c>
      <c r="L2">
        <f>Data!T80</f>
        <v>0.80669847940936068</v>
      </c>
      <c r="M2">
        <f>Data!U80</f>
        <v>0.83240986405744222</v>
      </c>
      <c r="N2">
        <f>Data!V80</f>
        <v>0.85812124870552375</v>
      </c>
      <c r="O2">
        <f>Data!W80</f>
        <v>0.88271747691348201</v>
      </c>
      <c r="P2">
        <f>Data!X80</f>
        <v>0.90526881665082759</v>
      </c>
      <c r="Q2">
        <f>Data!Y80</f>
        <v>0.9251544983308061</v>
      </c>
      <c r="R2">
        <f>Data!Z80</f>
        <v>0.94209556332639766</v>
      </c>
      <c r="S2">
        <f>Data!AA80</f>
        <v>0.95610940332667527</v>
      </c>
      <c r="T2">
        <f>Data!AB80</f>
        <v>0.96742225241913282</v>
      </c>
      <c r="U2">
        <f>Data!AC80</f>
        <v>0.97637607572358087</v>
      </c>
      <c r="V2">
        <f>Data!AD80</f>
        <v>0.98335264010983514</v>
      </c>
      <c r="W2">
        <f>Data!AE80</f>
        <v>0.98872251917550202</v>
      </c>
      <c r="X2">
        <f>Data!AF80</f>
        <v>0.99281695809046022</v>
      </c>
      <c r="Y2">
        <f>Data!AG80</f>
        <v>0.9959165174192357</v>
      </c>
      <c r="Z2">
        <f>Data!AH80</f>
        <v>0.99825018113069341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4.4574546552009223E-2</v>
      </c>
      <c r="C6">
        <f>Data!K84</f>
        <v>4.4640700489472919E-2</v>
      </c>
      <c r="D6">
        <f>Data!L84</f>
        <v>4.4729403712481547E-2</v>
      </c>
      <c r="E6">
        <f>Data!M84</f>
        <v>4.4848068689361253E-2</v>
      </c>
      <c r="F6">
        <f>Data!N84</f>
        <v>4.5006327441294181E-2</v>
      </c>
      <c r="G6">
        <f>Data!O84</f>
        <v>4.5216525846705241E-2</v>
      </c>
      <c r="H6">
        <f>Data!P84</f>
        <v>4.5494192585646874E-2</v>
      </c>
      <c r="I6">
        <f>Data!Q84</f>
        <v>4.5858354034784006E-2</v>
      </c>
      <c r="J6">
        <f>Data!R84</f>
        <v>4.633147377655631E-2</v>
      </c>
      <c r="K6">
        <f>Data!S84</f>
        <v>4.6938682473436098E-2</v>
      </c>
      <c r="L6">
        <f>Data!T84</f>
        <v>4.7705869866112971E-2</v>
      </c>
      <c r="M6">
        <f>Data!U84</f>
        <v>4.8656226516620375E-2</v>
      </c>
      <c r="N6">
        <f>Data!V84</f>
        <v>4.9805094620217934E-2</v>
      </c>
      <c r="O6">
        <f>Data!W84</f>
        <v>5.1153653604341237E-2</v>
      </c>
      <c r="P6">
        <f>Data!X84</f>
        <v>5.2682985728642197E-2</v>
      </c>
      <c r="Q6">
        <f>Data!Y84</f>
        <v>5.4350993145193829E-2</v>
      </c>
      <c r="R6">
        <f>Data!Z84</f>
        <v>5.6094625539567844E-2</v>
      </c>
      <c r="S6">
        <f>Data!AA84</f>
        <v>5.7838257933941845E-2</v>
      </c>
      <c r="T6">
        <f>Data!AB84</f>
        <v>5.9506265350493484E-2</v>
      </c>
      <c r="U6">
        <f>Data!AC84</f>
        <v>6.1035597474794444E-2</v>
      </c>
      <c r="V6">
        <f>Data!AD84</f>
        <v>6.2384156458917747E-2</v>
      </c>
      <c r="W6">
        <f>Data!AE84</f>
        <v>6.3533024562515306E-2</v>
      </c>
      <c r="X6">
        <f>Data!AF84</f>
        <v>6.4483381213022717E-2</v>
      </c>
      <c r="Y6">
        <f>Data!AG84</f>
        <v>6.5250568605699583E-2</v>
      </c>
      <c r="Z6">
        <f>Data!AH84</f>
        <v>6.5857777302579371E-2</v>
      </c>
      <c r="AA6">
        <f>Data!AI84</f>
        <v>6.6330897044351675E-2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2026-09-04T21:33:03Z</dcterms:modified>
</cp:coreProperties>
</file>